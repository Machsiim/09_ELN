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4"/>
  <workbookPr/>
  <mc:AlternateContent xmlns:mc="http://schemas.openxmlformats.org/markup-compatibility/2006">
    <mc:Choice Requires="x15">
      <x15ac:absPath xmlns:x15ac="http://schemas.microsoft.com/office/spreadsheetml/2010/11/ac" url="/Users/lisahufnagl/Documents/MUW/Diplomarbeit/"/>
    </mc:Choice>
  </mc:AlternateContent>
  <xr:revisionPtr revIDLastSave="0" documentId="11_8D691DE297697B0884195C77902576A2F72A1523" xr6:coauthVersionLast="47" xr6:coauthVersionMax="47" xr10:uidLastSave="{00000000-0000-0000-0000-000000000000}"/>
  <bookViews>
    <workbookView xWindow="1800" yWindow="500" windowWidth="25160" windowHeight="16260" tabRatio="500" xr2:uid="{00000000-000D-0000-FFFF-FFFF00000000}"/>
  </bookViews>
  <sheets>
    <sheet name="Lungs organized" sheetId="7" r:id="rId1"/>
    <sheet name="all lungs" sheetId="5" r:id="rId2"/>
    <sheet name="Histo" sheetId="6" r:id="rId3"/>
    <sheet name="Lungs 2022" sheetId="1" r:id="rId4"/>
    <sheet name="Lungs 2023" sheetId="2" r:id="rId5"/>
    <sheet name="Bolus" sheetId="3" r:id="rId6"/>
    <sheet name="Nebulized" sheetId="4" r:id="rId7"/>
  </sheet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1" i="5" l="1"/>
  <c r="G17" i="3"/>
  <c r="F17" i="3"/>
  <c r="F16" i="3"/>
  <c r="F15" i="3"/>
  <c r="F14" i="3"/>
  <c r="D14" i="3"/>
  <c r="C17" i="3"/>
  <c r="B17" i="3"/>
  <c r="I17" i="3"/>
  <c r="C16" i="3"/>
  <c r="B16" i="3"/>
  <c r="D16" i="3"/>
  <c r="G16" i="3"/>
  <c r="H16" i="3"/>
  <c r="I16" i="3"/>
  <c r="C14" i="3"/>
  <c r="B14" i="3"/>
  <c r="G14" i="3"/>
  <c r="H14" i="3"/>
  <c r="I14" i="3"/>
  <c r="C15" i="3"/>
  <c r="B15" i="3"/>
  <c r="D15" i="3"/>
  <c r="G15" i="3"/>
  <c r="I15" i="3"/>
  <c r="Q36" i="2"/>
  <c r="E16" i="1"/>
  <c r="E15" i="1"/>
  <c r="D16" i="1"/>
  <c r="D15" i="1"/>
  <c r="C16" i="1"/>
  <c r="C15" i="1"/>
  <c r="B16" i="1"/>
  <c r="B15" i="1"/>
  <c r="X12" i="2"/>
  <c r="W12" i="2"/>
  <c r="V12" i="2"/>
  <c r="U12" i="2"/>
  <c r="U3" i="2"/>
  <c r="X3" i="2"/>
  <c r="W3" i="2"/>
  <c r="V3" i="2"/>
  <c r="P22" i="2"/>
  <c r="O22" i="2"/>
  <c r="N22" i="2"/>
  <c r="M22" i="2"/>
  <c r="B16" i="4"/>
  <c r="F16" i="4"/>
  <c r="B15" i="4"/>
  <c r="D15" i="4"/>
  <c r="F15" i="4"/>
  <c r="B14" i="4"/>
  <c r="D14" i="4"/>
  <c r="F14" i="4"/>
  <c r="B13" i="4"/>
  <c r="F13" i="4" s="1"/>
  <c r="E16" i="2"/>
  <c r="T36" i="2" s="1"/>
  <c r="D16" i="2"/>
  <c r="S36" i="2" s="1"/>
  <c r="E17" i="2"/>
  <c r="T37" i="2" s="1"/>
  <c r="D17" i="2"/>
  <c r="S37" i="2" s="1"/>
  <c r="C17" i="2"/>
  <c r="R37" i="2" s="1"/>
  <c r="B17" i="2"/>
  <c r="Q37" i="2" s="1"/>
  <c r="C16" i="2"/>
  <c r="R36" i="2" s="1"/>
</calcChain>
</file>

<file path=xl/sharedStrings.xml><?xml version="1.0" encoding="utf-8"?>
<sst xmlns="http://schemas.openxmlformats.org/spreadsheetml/2006/main" count="192" uniqueCount="83">
  <si>
    <t>Lung 1</t>
  </si>
  <si>
    <t>N</t>
  </si>
  <si>
    <t>Lung 2</t>
  </si>
  <si>
    <t>Lung 3</t>
  </si>
  <si>
    <t>B</t>
  </si>
  <si>
    <t>Lung 4</t>
  </si>
  <si>
    <t>Lung 5</t>
  </si>
  <si>
    <t>Lung 6</t>
  </si>
  <si>
    <t>Lung 7</t>
  </si>
  <si>
    <t>Lung 8</t>
  </si>
  <si>
    <t>Lung 9</t>
  </si>
  <si>
    <t>Lung 10</t>
  </si>
  <si>
    <t>Lung 11</t>
  </si>
  <si>
    <t>Lung 12</t>
  </si>
  <si>
    <t>Lung 13</t>
  </si>
  <si>
    <t>Lung 14</t>
  </si>
  <si>
    <t>Lung 15</t>
  </si>
  <si>
    <t>Lung 16</t>
  </si>
  <si>
    <t>PEEP cmH2O</t>
  </si>
  <si>
    <t>3B</t>
  </si>
  <si>
    <t>4B</t>
  </si>
  <si>
    <t>5N</t>
  </si>
  <si>
    <t>8B</t>
  </si>
  <si>
    <t>9B</t>
  </si>
  <si>
    <t>10B</t>
  </si>
  <si>
    <t>12B</t>
  </si>
  <si>
    <t>13N</t>
  </si>
  <si>
    <t>15B</t>
  </si>
  <si>
    <t>16N</t>
  </si>
  <si>
    <t>Lung Number (+B/N)</t>
  </si>
  <si>
    <t>/</t>
  </si>
  <si>
    <t>Surfactant</t>
  </si>
  <si>
    <t>Bag ventilation</t>
  </si>
  <si>
    <t>no data</t>
  </si>
  <si>
    <t>Vt</t>
  </si>
  <si>
    <t>Rupture!</t>
  </si>
  <si>
    <t>not usable</t>
  </si>
  <si>
    <t>Vt -&gt; PEEP 30</t>
  </si>
  <si>
    <t>leakage</t>
  </si>
  <si>
    <t>Histo Score</t>
  </si>
  <si>
    <t>Bolus/Nebulized Surfactant</t>
  </si>
  <si>
    <t>PEEP mbar</t>
  </si>
  <si>
    <t>Rupture yes/no</t>
  </si>
  <si>
    <t>no</t>
  </si>
  <si>
    <t>yes</t>
  </si>
  <si>
    <t>Histological Score</t>
  </si>
  <si>
    <t>age (days)</t>
  </si>
  <si>
    <t>weight (kg)</t>
  </si>
  <si>
    <t>temperature (°C)</t>
  </si>
  <si>
    <t>highest achieved Vt before surfactant per kg</t>
  </si>
  <si>
    <t>highest achieved Vt after surfactant per kg</t>
  </si>
  <si>
    <t>0.025</t>
  </si>
  <si>
    <t>0.021</t>
  </si>
  <si>
    <t>0.031</t>
  </si>
  <si>
    <t>0.024</t>
  </si>
  <si>
    <t>0.082</t>
  </si>
  <si>
    <t>0.048</t>
  </si>
  <si>
    <t>0.074</t>
  </si>
  <si>
    <t>0.056</t>
  </si>
  <si>
    <t>0.091</t>
  </si>
  <si>
    <t>Score</t>
  </si>
  <si>
    <t>tidal volume mL</t>
  </si>
  <si>
    <t>Lung Number</t>
  </si>
  <si>
    <t>NoS</t>
  </si>
  <si>
    <t>WithS</t>
  </si>
  <si>
    <t>1B</t>
  </si>
  <si>
    <t>2B</t>
  </si>
  <si>
    <t>5B</t>
  </si>
  <si>
    <t>6N</t>
  </si>
  <si>
    <t>9N</t>
  </si>
  <si>
    <t>Changes in tidalvolume 1</t>
  </si>
  <si>
    <t>Mean changes before Surfactant application</t>
  </si>
  <si>
    <t>Changes in tidalvolume after Surfactant application</t>
  </si>
  <si>
    <t>Changes in tidalvolume 2</t>
  </si>
  <si>
    <t>lung 8</t>
  </si>
  <si>
    <t>lung 3</t>
  </si>
  <si>
    <t>lung 5</t>
  </si>
  <si>
    <t>Mean changes in tidalvolume</t>
  </si>
  <si>
    <t>lung 4</t>
  </si>
  <si>
    <t>All lungs</t>
  </si>
  <si>
    <t>Difference (after minus before)</t>
  </si>
  <si>
    <t>mean</t>
  </si>
  <si>
    <t>HFOV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</si>
</sst>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5" borderId="2" xfId="0" applyFill="1" applyBorder="1"/>
    <xf numFmtId="0" fontId="0" fillId="5" borderId="0" xfId="0" applyFill="1"/>
    <xf numFmtId="0" fontId="1" fillId="2" borderId="1" xfId="0" applyFont="1" applyFill="1" applyBorder="1"/>
    <xf numFmtId="0" fontId="0" fillId="6" borderId="1" xfId="0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5" fillId="13" borderId="3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2" borderId="0" xfId="0" applyFill="1"/>
    <xf numFmtId="0" fontId="0" fillId="4" borderId="0" xfId="0" applyFill="1"/>
    <xf numFmtId="0" fontId="4" fillId="7" borderId="0" xfId="0" applyFont="1" applyFill="1"/>
    <xf numFmtId="2" fontId="0" fillId="4" borderId="1" xfId="0" applyNumberFormat="1" applyFill="1" applyBorder="1"/>
    <xf numFmtId="2" fontId="0" fillId="14" borderId="1" xfId="0" applyNumberFormat="1" applyFill="1" applyBorder="1"/>
    <xf numFmtId="0" fontId="0" fillId="14" borderId="0" xfId="0" applyFill="1"/>
    <xf numFmtId="2" fontId="0" fillId="0" borderId="0" xfId="0" applyNumberFormat="1"/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2" fontId="1" fillId="2" borderId="1" xfId="0" applyNumberFormat="1" applyFont="1" applyFill="1" applyBorder="1"/>
    <xf numFmtId="2" fontId="0" fillId="6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/>
    <xf numFmtId="2" fontId="0" fillId="2" borderId="1" xfId="0" applyNumberFormat="1" applyFill="1" applyBorder="1"/>
    <xf numFmtId="2" fontId="0" fillId="14" borderId="0" xfId="0" applyNumberFormat="1" applyFill="1"/>
    <xf numFmtId="2" fontId="0" fillId="0" borderId="1" xfId="0" applyNumberFormat="1" applyBorder="1"/>
    <xf numFmtId="2" fontId="0" fillId="5" borderId="2" xfId="0" applyNumberFormat="1" applyFill="1" applyBorder="1"/>
    <xf numFmtId="2" fontId="0" fillId="5" borderId="0" xfId="0" applyNumberFormat="1" applyFill="1"/>
    <xf numFmtId="2" fontId="0" fillId="8" borderId="0" xfId="0" applyNumberFormat="1" applyFill="1"/>
    <xf numFmtId="2" fontId="0" fillId="8" borderId="2" xfId="0" applyNumberFormat="1" applyFill="1" applyBorder="1"/>
    <xf numFmtId="2" fontId="0" fillId="4" borderId="2" xfId="0" applyNumberFormat="1" applyFill="1" applyBorder="1"/>
    <xf numFmtId="2" fontId="0" fillId="4" borderId="0" xfId="0" applyNumberFormat="1" applyFill="1"/>
    <xf numFmtId="14" fontId="0" fillId="0" borderId="0" xfId="0" applyNumberFormat="1"/>
    <xf numFmtId="0" fontId="4" fillId="0" borderId="0" xfId="0" applyFont="1"/>
    <xf numFmtId="14" fontId="4" fillId="0" borderId="0" xfId="0" applyNumberFormat="1" applyFont="1"/>
  </cellXfs>
  <cellStyles count="33"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4" builtinId="9" hidden="1"/>
    <cellStyle name="Besuchter Hyperlink" xfId="6" builtinId="9" hidden="1"/>
    <cellStyle name="Besuchter Hyperlink" xfId="2" builtinId="9" hidden="1"/>
    <cellStyle name="Besuchter Hyperlink" xfId="10" builtinId="9" hidden="1"/>
    <cellStyle name="Besuchter Hyperlink" xfId="8" builtinId="9" hidden="1"/>
    <cellStyle name="Besuchter Hyperlink" xfId="28" builtinId="9" hidden="1"/>
    <cellStyle name="Besuchter Hyperlink" xfId="32" builtinId="9" hidden="1"/>
    <cellStyle name="Besuchter Hyperlink" xfId="26" builtinId="9" hidden="1"/>
    <cellStyle name="Besuchter Hyperlink" xfId="18" builtinId="9" hidden="1"/>
    <cellStyle name="Besuchter Hyperlink" xfId="30" builtinId="9" hidden="1"/>
    <cellStyle name="Besuchter Hyperlink" xfId="22" builtinId="9" hidden="1"/>
    <cellStyle name="Besuchter Hyperlink" xfId="24" builtinId="9" hidden="1"/>
    <cellStyle name="Besuchter Hyperlink" xfId="20" builtinId="9" hidden="1"/>
    <cellStyle name="Link" xfId="31" builtinId="8" hidden="1"/>
    <cellStyle name="Link" xfId="25" builtinId="8" hidden="1"/>
    <cellStyle name="Link" xfId="7" builtinId="8" hidden="1"/>
    <cellStyle name="Link" xfId="9" builtinId="8" hidden="1"/>
    <cellStyle name="Link" xfId="11" builtinId="8" hidden="1"/>
    <cellStyle name="Link" xfId="3" builtinId="8" hidden="1"/>
    <cellStyle name="Link" xfId="5" builtinId="8" hidden="1"/>
    <cellStyle name="Link" xfId="1" builtinId="8" hidden="1"/>
    <cellStyle name="Link" xfId="13" builtinId="8" hidden="1"/>
    <cellStyle name="Link" xfId="21" builtinId="8" hidden="1"/>
    <cellStyle name="Link" xfId="23" builtinId="8" hidden="1"/>
    <cellStyle name="Link" xfId="27" builtinId="8" hidden="1"/>
    <cellStyle name="Link" xfId="29" builtinId="8" hidden="1"/>
    <cellStyle name="Link" xfId="17" builtinId="8" hidden="1"/>
    <cellStyle name="Link" xfId="19" builtinId="8" hidden="1"/>
    <cellStyle name="Link" xfId="15" builtinId="8" hidden="1"/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Histo!$A$1:$A$5</c:f>
              <c:numCache>
                <c:formatCode>General</c:formatCode>
                <c:ptCount val="5"/>
                <c:pt idx="0">
                  <c:v>3.9300000000000002E-2</c:v>
                </c:pt>
                <c:pt idx="1">
                  <c:v>2.5399999999999999E-2</c:v>
                </c:pt>
                <c:pt idx="2">
                  <c:v>3.2899999999999999E-2</c:v>
                </c:pt>
                <c:pt idx="3">
                  <c:v>4.36E-2</c:v>
                </c:pt>
                <c:pt idx="4">
                  <c:v>2.0400000000000001E-2</c:v>
                </c:pt>
              </c:numCache>
            </c:numRef>
          </c:xVal>
          <c:yVal>
            <c:numRef>
              <c:f>Histo!$B$1:$B$5</c:f>
              <c:numCache>
                <c:formatCode>General</c:formatCode>
                <c:ptCount val="5"/>
                <c:pt idx="0">
                  <c:v>1.9</c:v>
                </c:pt>
                <c:pt idx="1">
                  <c:v>1.1000000000000001</c:v>
                </c:pt>
                <c:pt idx="2">
                  <c:v>0</c:v>
                </c:pt>
                <c:pt idx="3">
                  <c:v>1.5</c:v>
                </c:pt>
                <c:pt idx="4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F-4A00-AC4D-B3720B8CD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456416"/>
        <c:axId val="1338457776"/>
      </c:scatterChart>
      <c:valAx>
        <c:axId val="133845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8457776"/>
        <c:crosses val="autoZero"/>
        <c:crossBetween val="midCat"/>
      </c:valAx>
      <c:valAx>
        <c:axId val="13384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845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chemeClr val="accent1"/>
                </a:solidFill>
              </a:rPr>
              <a:t>NoS</a:t>
            </a:r>
            <a:r>
              <a:rPr lang="de-DE"/>
              <a:t> vs. </a:t>
            </a:r>
            <a:r>
              <a:rPr lang="de-DE">
                <a:solidFill>
                  <a:schemeClr val="accent2"/>
                </a:solidFill>
              </a:rPr>
              <a:t>WithS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With Surfactant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numRef>
              <c:f>'Lungs 2023'!$B$15:$E$15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'Lungs 2023'!$B$17:$E$17</c:f>
              <c:numCache>
                <c:formatCode>General</c:formatCode>
                <c:ptCount val="4"/>
                <c:pt idx="0">
                  <c:v>0.8928571428571429</c:v>
                </c:pt>
                <c:pt idx="1">
                  <c:v>1.58</c:v>
                </c:pt>
                <c:pt idx="2">
                  <c:v>2.3285714285714292</c:v>
                </c:pt>
                <c:pt idx="3">
                  <c:v>3.0999999999999996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C7-4923-9A42-AEA6B5F6FC45}"/>
            </c:ext>
          </c:extLst>
        </c:ser>
        <c:ser>
          <c:idx val="0"/>
          <c:order val="0"/>
          <c:tx>
            <c:v>Without Surfactant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xVal>
            <c:numRef>
              <c:f>'Lungs 2023'!$B$15:$E$15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'Lungs 2023'!$B$16:$E$16</c:f>
              <c:numCache>
                <c:formatCode>General</c:formatCode>
                <c:ptCount val="4"/>
                <c:pt idx="0">
                  <c:v>0.49286000000000002</c:v>
                </c:pt>
                <c:pt idx="1">
                  <c:v>0.4642857142857143</c:v>
                </c:pt>
                <c:pt idx="2">
                  <c:v>0.65</c:v>
                </c:pt>
                <c:pt idx="3">
                  <c:v>1.4000000000000001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C7-4923-9A42-AEA6B5F6F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651984"/>
        <c:axId val="1338895712"/>
      </c:scatterChart>
      <c:valAx>
        <c:axId val="133865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8895712"/>
        <c:crosses val="autoZero"/>
        <c:crossBetween val="midCat"/>
      </c:valAx>
      <c:valAx>
        <c:axId val="13388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865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All</a:t>
            </a:r>
            <a:r>
              <a:rPr lang="de-DE" baseline="0"/>
              <a:t> lungs NoS vs WithS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Without Surfactant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'Lungs 2023'!$Q$35:$T$35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'Lungs 2023'!$Q$36:$T$36</c:f>
              <c:numCache>
                <c:formatCode>General</c:formatCode>
                <c:ptCount val="4"/>
                <c:pt idx="0">
                  <c:v>0.42542999999999997</c:v>
                </c:pt>
                <c:pt idx="1">
                  <c:v>0.36414285714285716</c:v>
                </c:pt>
                <c:pt idx="2">
                  <c:v>0.39500000000000002</c:v>
                </c:pt>
                <c:pt idx="3">
                  <c:v>1.026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7-4897-B356-EC3192318CF0}"/>
            </c:ext>
          </c:extLst>
        </c:ser>
        <c:ser>
          <c:idx val="1"/>
          <c:order val="1"/>
          <c:tx>
            <c:v>With Surfactant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'Lungs 2023'!$Q$35:$T$35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'Lungs 2023'!$Q$37:$T$37</c:f>
              <c:numCache>
                <c:formatCode>General</c:formatCode>
                <c:ptCount val="4"/>
                <c:pt idx="0">
                  <c:v>0.99142857142857155</c:v>
                </c:pt>
                <c:pt idx="1">
                  <c:v>1.3494999999999999</c:v>
                </c:pt>
                <c:pt idx="2">
                  <c:v>1.8742857142857146</c:v>
                </c:pt>
                <c:pt idx="3">
                  <c:v>2.3239999999999998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A7-4897-B356-EC3192318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041824"/>
        <c:axId val="1278307408"/>
      </c:scatterChart>
      <c:valAx>
        <c:axId val="1338041824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 (mbar)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8307408"/>
        <c:crosses val="autoZero"/>
        <c:crossBetween val="midCat"/>
        <c:majorUnit val="5"/>
      </c:valAx>
      <c:valAx>
        <c:axId val="12783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8041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Change</a:t>
            </a:r>
            <a:r>
              <a:rPr lang="de-DE" baseline="0"/>
              <a:t> in t</a:t>
            </a:r>
            <a:r>
              <a:rPr lang="de-DE"/>
              <a:t>idal volume</a:t>
            </a:r>
            <a:r>
              <a:rPr lang="de-DE" baseline="0"/>
              <a:t> without surfactant</a:t>
            </a:r>
            <a:r>
              <a:rPr lang="de-DE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Lung 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'Lungs 2023'!$R$20:$U$20</c:f>
              <c:numCache>
                <c:formatCode>General</c:formatCode>
                <c:ptCount val="4"/>
                <c:pt idx="0">
                  <c:v>0.31</c:v>
                </c:pt>
                <c:pt idx="1">
                  <c:v>0.23</c:v>
                </c:pt>
                <c:pt idx="2">
                  <c:v>0.21</c:v>
                </c:pt>
                <c:pt idx="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7-4146-9ACE-98AD3E0596D1}"/>
            </c:ext>
          </c:extLst>
        </c:ser>
        <c:ser>
          <c:idx val="4"/>
          <c:order val="1"/>
          <c:tx>
            <c:v>Lunge 4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'Lungs 2023'!$R$22:$U$22</c:f>
              <c:numCache>
                <c:formatCode>General</c:formatCode>
                <c:ptCount val="4"/>
                <c:pt idx="0">
                  <c:v>0.3</c:v>
                </c:pt>
                <c:pt idx="1">
                  <c:v>0.22</c:v>
                </c:pt>
                <c:pt idx="2">
                  <c:v>0.08</c:v>
                </c:pt>
                <c:pt idx="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B7-4146-9ACE-98AD3E0596D1}"/>
            </c:ext>
          </c:extLst>
        </c:ser>
        <c:ser>
          <c:idx val="0"/>
          <c:order val="2"/>
          <c:tx>
            <c:v>Lung 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'Lungs 2023'!$P$2:$S$2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2023'!$P$3:$S$3</c:f>
              <c:numCache>
                <c:formatCode>General</c:formatCode>
                <c:ptCount val="4"/>
                <c:pt idx="0">
                  <c:v>1.1499999999999999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B7-4146-9ACE-98AD3E0596D1}"/>
            </c:ext>
          </c:extLst>
        </c:ser>
        <c:ser>
          <c:idx val="1"/>
          <c:order val="3"/>
          <c:tx>
            <c:v>Lung 13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'Lungs 2023'!$P$2:$S$2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2023'!$P$4:$S$4</c:f>
              <c:numCache>
                <c:formatCode>General</c:formatCode>
                <c:ptCount val="4"/>
                <c:pt idx="0">
                  <c:v>1.1000000000000001</c:v>
                </c:pt>
                <c:pt idx="1">
                  <c:v>0.6</c:v>
                </c:pt>
                <c:pt idx="2">
                  <c:v>0.25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B7-4146-9ACE-98AD3E0596D1}"/>
            </c:ext>
          </c:extLst>
        </c:ser>
        <c:ser>
          <c:idx val="2"/>
          <c:order val="4"/>
          <c:tx>
            <c:v>Lung 15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'Lungs 2023'!$P$2:$S$2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2023'!$P$5:$S$5</c:f>
              <c:numCache>
                <c:formatCode>General</c:formatCode>
                <c:ptCount val="4"/>
                <c:pt idx="0">
                  <c:v>1.2</c:v>
                </c:pt>
                <c:pt idx="1">
                  <c:v>0.8</c:v>
                </c:pt>
                <c:pt idx="2">
                  <c:v>0.1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B7-4146-9ACE-98AD3E059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368880"/>
        <c:axId val="1335371424"/>
      </c:lineChart>
      <c:catAx>
        <c:axId val="133536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</a:t>
                </a:r>
                <a:r>
                  <a:rPr lang="de-DE" baseline="0"/>
                  <a:t> (mbar)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5371424"/>
        <c:crosses val="autoZero"/>
        <c:auto val="1"/>
        <c:lblAlgn val="ctr"/>
        <c:lblOffset val="100"/>
        <c:noMultiLvlLbl val="0"/>
      </c:catAx>
      <c:valAx>
        <c:axId val="133537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536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Change in tidal volume without surfactant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Lung 5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'Lungs 2023'!$R$18:$U$18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2023'!$R$21:$U$21</c:f>
              <c:numCache>
                <c:formatCode>General</c:formatCode>
                <c:ptCount val="4"/>
                <c:pt idx="0">
                  <c:v>0.46</c:v>
                </c:pt>
                <c:pt idx="1">
                  <c:v>0.34</c:v>
                </c:pt>
                <c:pt idx="2">
                  <c:v>0.13</c:v>
                </c:pt>
                <c:pt idx="3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3-4CBA-96DD-31C75C4D7670}"/>
            </c:ext>
          </c:extLst>
        </c:ser>
        <c:ser>
          <c:idx val="0"/>
          <c:order val="1"/>
          <c:tx>
            <c:v>Lung 8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'Lungs 2023'!$R$18:$U$18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2023'!$R$19:$U$19</c:f>
              <c:numCache>
                <c:formatCode>General</c:formatCode>
                <c:ptCount val="4"/>
                <c:pt idx="0">
                  <c:v>0</c:v>
                </c:pt>
                <c:pt idx="1">
                  <c:v>1.8</c:v>
                </c:pt>
                <c:pt idx="2">
                  <c:v>4.2</c:v>
                </c:pt>
                <c:pt idx="3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33-4CBA-96DD-31C75C4D7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427808"/>
        <c:axId val="1335413856"/>
      </c:lineChart>
      <c:catAx>
        <c:axId val="1335427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 (mbar)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5413856"/>
        <c:crosses val="autoZero"/>
        <c:auto val="1"/>
        <c:lblAlgn val="ctr"/>
        <c:lblOffset val="100"/>
        <c:noMultiLvlLbl val="0"/>
      </c:catAx>
      <c:valAx>
        <c:axId val="133541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542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Changes</a:t>
            </a:r>
            <a:r>
              <a:rPr lang="de-DE" baseline="0"/>
              <a:t> in tidal volume after surfactant application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Lung 3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'Lungs 2023'!$M$10:$P$10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2023'!$M$11:$P$11</c:f>
              <c:numCache>
                <c:formatCode>General</c:formatCode>
                <c:ptCount val="4"/>
                <c:pt idx="0">
                  <c:v>0.73</c:v>
                </c:pt>
                <c:pt idx="1">
                  <c:v>0.72</c:v>
                </c:pt>
                <c:pt idx="2">
                  <c:v>0.72</c:v>
                </c:pt>
                <c:pt idx="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3-45CB-B408-7C8191C323E1}"/>
            </c:ext>
          </c:extLst>
        </c:ser>
        <c:ser>
          <c:idx val="2"/>
          <c:order val="1"/>
          <c:tx>
            <c:v>Lung 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'Lungs 2023'!$M$10:$P$10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2023'!$M$13:$P$13</c:f>
              <c:numCache>
                <c:formatCode>General</c:formatCode>
                <c:ptCount val="4"/>
                <c:pt idx="0">
                  <c:v>1.52</c:v>
                </c:pt>
                <c:pt idx="1">
                  <c:v>1.61</c:v>
                </c:pt>
                <c:pt idx="2">
                  <c:v>1.63</c:v>
                </c:pt>
                <c:pt idx="3">
                  <c:v>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3-45CB-B408-7C8191C323E1}"/>
            </c:ext>
          </c:extLst>
        </c:ser>
        <c:ser>
          <c:idx val="1"/>
          <c:order val="2"/>
          <c:tx>
            <c:v>Lung 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'Lungs 2023'!$M$10:$P$10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2023'!$M$12:$P$12</c:f>
              <c:numCache>
                <c:formatCode>General</c:formatCode>
                <c:ptCount val="4"/>
                <c:pt idx="0">
                  <c:v>1.05</c:v>
                </c:pt>
                <c:pt idx="1">
                  <c:v>1.03</c:v>
                </c:pt>
                <c:pt idx="2">
                  <c:v>1.92</c:v>
                </c:pt>
                <c:pt idx="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C3-45CB-B408-7C8191C323E1}"/>
            </c:ext>
          </c:extLst>
        </c:ser>
        <c:ser>
          <c:idx val="5"/>
          <c:order val="3"/>
          <c:tx>
            <c:v>Lung 8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'Lungs 2023'!$M$10:$P$10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2023'!$M$16:$P$16</c:f>
              <c:numCache>
                <c:formatCode>General</c:formatCode>
                <c:ptCount val="4"/>
                <c:pt idx="0">
                  <c:v>1.5</c:v>
                </c:pt>
                <c:pt idx="1">
                  <c:v>4.7</c:v>
                </c:pt>
                <c:pt idx="2">
                  <c:v>6.9</c:v>
                </c:pt>
                <c:pt idx="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C3-45CB-B408-7C8191C323E1}"/>
            </c:ext>
          </c:extLst>
        </c:ser>
        <c:ser>
          <c:idx val="6"/>
          <c:order val="4"/>
          <c:tx>
            <c:v>Lung 10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'Lungs 2023'!$M$10:$P$10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2023'!$M$17:$P$17</c:f>
              <c:numCache>
                <c:formatCode>General</c:formatCode>
                <c:ptCount val="4"/>
                <c:pt idx="0">
                  <c:v>0.6</c:v>
                </c:pt>
                <c:pt idx="1">
                  <c:v>4.8</c:v>
                </c:pt>
                <c:pt idx="2">
                  <c:v>8.6</c:v>
                </c:pt>
                <c:pt idx="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C3-45CB-B408-7C8191C323E1}"/>
            </c:ext>
          </c:extLst>
        </c:ser>
        <c:ser>
          <c:idx val="7"/>
          <c:order val="5"/>
          <c:tx>
            <c:v>Lung 12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'Lungs 2023'!$M$10:$P$10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2023'!$M$18:$P$18</c:f>
              <c:numCache>
                <c:formatCode>General</c:formatCode>
                <c:ptCount val="4"/>
                <c:pt idx="0">
                  <c:v>1.9</c:v>
                </c:pt>
                <c:pt idx="1">
                  <c:v>1</c:v>
                </c:pt>
                <c:pt idx="2">
                  <c:v>0.6</c:v>
                </c:pt>
                <c:pt idx="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C3-45CB-B408-7C8191C323E1}"/>
            </c:ext>
          </c:extLst>
        </c:ser>
        <c:ser>
          <c:idx val="8"/>
          <c:order val="6"/>
          <c:tx>
            <c:v>Lung 13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'Lungs 2023'!$M$10:$P$10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2023'!$M$19:$P$19</c:f>
              <c:numCache>
                <c:formatCode>General</c:formatCode>
                <c:ptCount val="4"/>
                <c:pt idx="0">
                  <c:v>0</c:v>
                </c:pt>
                <c:pt idx="1">
                  <c:v>0.01</c:v>
                </c:pt>
                <c:pt idx="2">
                  <c:v>0.1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C3-45CB-B408-7C8191C323E1}"/>
            </c:ext>
          </c:extLst>
        </c:ser>
        <c:ser>
          <c:idx val="9"/>
          <c:order val="7"/>
          <c:tx>
            <c:v>Lung 15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'Lungs 2023'!$M$10:$P$10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2023'!$M$20:$P$20</c:f>
              <c:numCache>
                <c:formatCode>General</c:formatCode>
                <c:ptCount val="4"/>
                <c:pt idx="0">
                  <c:v>1.5</c:v>
                </c:pt>
                <c:pt idx="1">
                  <c:v>0.5</c:v>
                </c:pt>
                <c:pt idx="2">
                  <c:v>0.1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C3-45CB-B408-7C8191C323E1}"/>
            </c:ext>
          </c:extLst>
        </c:ser>
        <c:ser>
          <c:idx val="10"/>
          <c:order val="8"/>
          <c:tx>
            <c:v>Lung 16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'Lungs 2023'!$M$10:$P$10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2023'!$M$21:$P$21</c:f>
              <c:numCache>
                <c:formatCode>General</c:formatCode>
                <c:ptCount val="4"/>
                <c:pt idx="0">
                  <c:v>0.75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C3-45CB-B408-7C8191C32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478272"/>
        <c:axId val="1338729824"/>
      </c:lineChart>
      <c:catAx>
        <c:axId val="13384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8729824"/>
        <c:crosses val="autoZero"/>
        <c:auto val="1"/>
        <c:lblAlgn val="ctr"/>
        <c:lblOffset val="100"/>
        <c:noMultiLvlLbl val="0"/>
      </c:catAx>
      <c:valAx>
        <c:axId val="133872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84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changes in tidalvolume after Surfactant Application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Lungs (3,4,5,8,10,12,13,15,16)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'Lungs 2023'!$M$10:$P$10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2023'!$M$22:$P$22</c:f>
              <c:numCache>
                <c:formatCode>General</c:formatCode>
                <c:ptCount val="4"/>
                <c:pt idx="0">
                  <c:v>1.0611111111111109</c:v>
                </c:pt>
                <c:pt idx="1">
                  <c:v>1.6022222222222222</c:v>
                </c:pt>
                <c:pt idx="2">
                  <c:v>2.2855555555555558</c:v>
                </c:pt>
                <c:pt idx="3">
                  <c:v>2.90625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A-4AAE-8492-54790F80B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255280"/>
        <c:axId val="1338345184"/>
      </c:lineChart>
      <c:catAx>
        <c:axId val="133825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8345184"/>
        <c:crosses val="autoZero"/>
        <c:auto val="1"/>
        <c:lblAlgn val="ctr"/>
        <c:lblOffset val="100"/>
        <c:noMultiLvlLbl val="0"/>
      </c:catAx>
      <c:valAx>
        <c:axId val="13383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825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Mean changes before</a:t>
            </a:r>
            <a:r>
              <a:rPr lang="de-DE" baseline="0"/>
              <a:t> Surfactant application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7 lungs before Surfactant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'Lungs 2023'!$U$2:$X$2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2023'!$U$3:$X$3</c:f>
              <c:numCache>
                <c:formatCode>General</c:formatCode>
                <c:ptCount val="4"/>
                <c:pt idx="0">
                  <c:v>0.6457142857142858</c:v>
                </c:pt>
                <c:pt idx="1">
                  <c:v>0.57714285714285718</c:v>
                </c:pt>
                <c:pt idx="2">
                  <c:v>0.71</c:v>
                </c:pt>
                <c:pt idx="3">
                  <c:v>1.7266666666666666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B-462B-ADDC-8F0862255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330600816"/>
        <c:axId val="1330056864"/>
      </c:lineChart>
      <c:catAx>
        <c:axId val="133060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 (mbar)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0056864"/>
        <c:crosses val="autoZero"/>
        <c:auto val="1"/>
        <c:lblAlgn val="ctr"/>
        <c:lblOffset val="100"/>
        <c:noMultiLvlLbl val="0"/>
      </c:catAx>
      <c:valAx>
        <c:axId val="133005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060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Opening the lung with</a:t>
            </a:r>
            <a:r>
              <a:rPr lang="en-US" baseline="0"/>
              <a:t> 30 PEEP before Surfactant application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Lung 9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'Lungs 2023'!$AN$3:$AQ$3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'Lungs 2023'!$AN$4:$AQ$4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2-47EB-B7ED-3500CD37B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205408"/>
        <c:axId val="1277314112"/>
      </c:lineChart>
      <c:catAx>
        <c:axId val="127720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314112"/>
        <c:crosses val="autoZero"/>
        <c:auto val="1"/>
        <c:lblAlgn val="ctr"/>
        <c:lblOffset val="100"/>
        <c:noMultiLvlLbl val="0"/>
      </c:catAx>
      <c:valAx>
        <c:axId val="127731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2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Mean changes</a:t>
            </a:r>
            <a:r>
              <a:rPr lang="de-DE" baseline="0"/>
              <a:t> before surfactant application wihtoug lung 8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'Lungs 2023'!$U$11:$X$11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'Lungs 2023'!$U$12:$X$12</c:f>
              <c:numCache>
                <c:formatCode>General</c:formatCode>
                <c:ptCount val="4"/>
                <c:pt idx="0">
                  <c:v>0.75333333333333341</c:v>
                </c:pt>
                <c:pt idx="1">
                  <c:v>0.37333333333333335</c:v>
                </c:pt>
                <c:pt idx="2">
                  <c:v>0.12833333333333333</c:v>
                </c:pt>
                <c:pt idx="3">
                  <c:v>0.39200000000000002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F-4107-BCC0-511479554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277368592"/>
        <c:axId val="1277359040"/>
      </c:lineChart>
      <c:catAx>
        <c:axId val="127736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 (mbar)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359040"/>
        <c:crosses val="autoZero"/>
        <c:auto val="1"/>
        <c:lblAlgn val="ctr"/>
        <c:lblOffset val="100"/>
        <c:noMultiLvlLbl val="0"/>
      </c:catAx>
      <c:valAx>
        <c:axId val="127735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36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mean</a:t>
            </a:r>
            <a:r>
              <a:rPr lang="de-DE" baseline="0"/>
              <a:t> difference in tidalvolume Bolus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Bolus!$A$14:$A$17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Bolus!$I$14:$I$17</c:f>
              <c:numCache>
                <c:formatCode>General</c:formatCode>
                <c:ptCount val="4"/>
                <c:pt idx="0">
                  <c:v>0.54044152499999998</c:v>
                </c:pt>
                <c:pt idx="1">
                  <c:v>1.720768727666667</c:v>
                </c:pt>
                <c:pt idx="2">
                  <c:v>1.9652454117142857</c:v>
                </c:pt>
                <c:pt idx="3">
                  <c:v>2.5473391273999999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7-4924-9A62-EADDEC03B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6927552"/>
        <c:axId val="1356948784"/>
      </c:barChart>
      <c:catAx>
        <c:axId val="135692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 (mbar)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6948784"/>
        <c:crosses val="autoZero"/>
        <c:auto val="1"/>
        <c:lblAlgn val="ctr"/>
        <c:lblOffset val="100"/>
        <c:noMultiLvlLbl val="0"/>
      </c:catAx>
      <c:valAx>
        <c:axId val="135694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69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difference</a:t>
            </a:r>
            <a:r>
              <a:rPr lang="de-DE" baseline="0"/>
              <a:t> in tidalvolume Bolus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v>Lung 3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Bolus!$C$14:$C$17</c:f>
              <c:numCache>
                <c:formatCode>0.00</c:formatCode>
                <c:ptCount val="4"/>
                <c:pt idx="0">
                  <c:v>0.41309067500000002</c:v>
                </c:pt>
                <c:pt idx="1">
                  <c:v>0.48461236600000002</c:v>
                </c:pt>
                <c:pt idx="2">
                  <c:v>0.50671788200000001</c:v>
                </c:pt>
                <c:pt idx="3">
                  <c:v>0.51669563699999999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5-46DB-AD6E-3FAA52C04E11}"/>
            </c:ext>
          </c:extLst>
        </c:ser>
        <c:ser>
          <c:idx val="0"/>
          <c:order val="1"/>
          <c:tx>
            <c:v>Lung 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Bolus!$A$14:$A$17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Bolus!$B$14:$B$17</c:f>
              <c:numCache>
                <c:formatCode>General</c:formatCode>
                <c:ptCount val="4"/>
                <c:pt idx="0">
                  <c:v>1.22</c:v>
                </c:pt>
                <c:pt idx="1">
                  <c:v>1.3900000000000001</c:v>
                </c:pt>
                <c:pt idx="2">
                  <c:v>1.5499999999999998</c:v>
                </c:pt>
                <c:pt idx="3">
                  <c:v>1.58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65-46DB-AD6E-3FAA52C04E11}"/>
            </c:ext>
          </c:extLst>
        </c:ser>
        <c:ser>
          <c:idx val="1"/>
          <c:order val="2"/>
          <c:tx>
            <c:v>Lung 8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Bolus!$D$14:$D$17</c:f>
              <c:numCache>
                <c:formatCode>General</c:formatCode>
                <c:ptCount val="4"/>
                <c:pt idx="0" formatCode="0.00">
                  <c:v>1.4</c:v>
                </c:pt>
                <c:pt idx="1">
                  <c:v>3.0700000000000003</c:v>
                </c:pt>
                <c:pt idx="2">
                  <c:v>2.59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65-46DB-AD6E-3FAA52C04E11}"/>
            </c:ext>
          </c:extLst>
        </c:ser>
        <c:ser>
          <c:idx val="2"/>
          <c:order val="3"/>
          <c:tx>
            <c:v>Lung 10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Bolus!$F$14:$F$17</c:f>
              <c:numCache>
                <c:formatCode>0.00</c:formatCode>
                <c:ptCount val="4"/>
                <c:pt idx="0">
                  <c:v>0.62</c:v>
                </c:pt>
                <c:pt idx="1">
                  <c:v>4.82</c:v>
                </c:pt>
                <c:pt idx="2">
                  <c:v>8.64</c:v>
                </c:pt>
                <c:pt idx="3">
                  <c:v>10.31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65-46DB-AD6E-3FAA52C04E11}"/>
            </c:ext>
          </c:extLst>
        </c:ser>
        <c:ser>
          <c:idx val="3"/>
          <c:order val="4"/>
          <c:tx>
            <c:v>Lung 12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Bolus!$G$14:$G$17</c:f>
              <c:numCache>
                <c:formatCode>General</c:formatCode>
                <c:ptCount val="4"/>
                <c:pt idx="0">
                  <c:v>-0.14999999999999991</c:v>
                </c:pt>
                <c:pt idx="1">
                  <c:v>0.55999999999999994</c:v>
                </c:pt>
                <c:pt idx="2">
                  <c:v>0.45</c:v>
                </c:pt>
                <c:pt idx="3" formatCode="0.0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65-46DB-AD6E-3FAA52C04E11}"/>
            </c:ext>
          </c:extLst>
        </c:ser>
        <c:ser>
          <c:idx val="4"/>
          <c:order val="5"/>
          <c:tx>
            <c:v>Lung 15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Bolus!$H$14:$H$16</c:f>
              <c:numCache>
                <c:formatCode>General</c:formatCode>
                <c:ptCount val="3"/>
                <c:pt idx="0">
                  <c:v>0.28000000000000003</c:v>
                </c:pt>
                <c:pt idx="1">
                  <c:v>0</c:v>
                </c:pt>
                <c:pt idx="2">
                  <c:v>2.0000000000000004E-2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65-46DB-AD6E-3FAA52C04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335840"/>
        <c:axId val="1334069280"/>
      </c:barChart>
      <c:catAx>
        <c:axId val="127733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 (mbar)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4069280"/>
        <c:crosses val="autoZero"/>
        <c:auto val="1"/>
        <c:lblAlgn val="ctr"/>
        <c:lblOffset val="100"/>
        <c:noMultiLvlLbl val="0"/>
      </c:catAx>
      <c:valAx>
        <c:axId val="13340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33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tidalvolume before Bolus Surfactant application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v>Lung 3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Bolus!$C$2:$C$5</c:f>
              <c:numCache>
                <c:formatCode>0.00</c:formatCode>
                <c:ptCount val="4"/>
                <c:pt idx="0">
                  <c:v>0.31395694400000002</c:v>
                </c:pt>
                <c:pt idx="1">
                  <c:v>0.23289342099999999</c:v>
                </c:pt>
                <c:pt idx="2">
                  <c:v>0.21215711800000001</c:v>
                </c:pt>
                <c:pt idx="3">
                  <c:v>0.20831416699999999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8-4B41-852C-35CC0AF79209}"/>
            </c:ext>
          </c:extLst>
        </c:ser>
        <c:ser>
          <c:idx val="0"/>
          <c:order val="1"/>
          <c:tx>
            <c:v>Lung 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Bolus!$A$2:$A$5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Bolus!$B$2:$B$5</c:f>
              <c:numCache>
                <c:formatCode>0.00</c:formatCode>
                <c:ptCount val="4"/>
                <c:pt idx="0">
                  <c:v>0.3</c:v>
                </c:pt>
                <c:pt idx="1">
                  <c:v>0.22</c:v>
                </c:pt>
                <c:pt idx="2">
                  <c:v>0.08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8-4B41-852C-35CC0AF79209}"/>
            </c:ext>
          </c:extLst>
        </c:ser>
        <c:ser>
          <c:idx val="1"/>
          <c:order val="2"/>
          <c:tx>
            <c:v>Lung 8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Bolus!$D$2:$D$5</c:f>
              <c:numCache>
                <c:formatCode>0.00</c:formatCode>
                <c:ptCount val="4"/>
                <c:pt idx="0">
                  <c:v>0.03</c:v>
                </c:pt>
                <c:pt idx="1">
                  <c:v>1.63</c:v>
                </c:pt>
                <c:pt idx="2">
                  <c:v>4.16</c:v>
                </c:pt>
                <c:pt idx="3">
                  <c:v>8.3800000000000008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58-4B41-852C-35CC0AF79209}"/>
            </c:ext>
          </c:extLst>
        </c:ser>
        <c:ser>
          <c:idx val="2"/>
          <c:order val="3"/>
          <c:tx>
            <c:v>Lung 10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Bolus!$F$2:$F$5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58-4B41-852C-35CC0AF79209}"/>
            </c:ext>
          </c:extLst>
        </c:ser>
        <c:ser>
          <c:idx val="3"/>
          <c:order val="4"/>
          <c:tx>
            <c:v>Lung 12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Bolus!$G$2:$G$5</c:f>
              <c:numCache>
                <c:formatCode>0.00</c:formatCode>
                <c:ptCount val="4"/>
                <c:pt idx="0">
                  <c:v>1.1299999999999999</c:v>
                </c:pt>
                <c:pt idx="1">
                  <c:v>0.04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58-4B41-852C-35CC0AF79209}"/>
            </c:ext>
          </c:extLst>
        </c:ser>
        <c:ser>
          <c:idx val="4"/>
          <c:order val="5"/>
          <c:tx>
            <c:v>Lung 15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Bolus!$H$2:$H$4</c:f>
              <c:numCache>
                <c:formatCode>0.00</c:formatCode>
                <c:ptCount val="3"/>
                <c:pt idx="0">
                  <c:v>1.2</c:v>
                </c:pt>
                <c:pt idx="1">
                  <c:v>0.81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C58-4B41-852C-35CC0AF79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6512272"/>
        <c:axId val="1226514816"/>
      </c:barChart>
      <c:catAx>
        <c:axId val="122651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 (mbar)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514816"/>
        <c:crosses val="autoZero"/>
        <c:auto val="1"/>
        <c:lblAlgn val="ctr"/>
        <c:lblOffset val="100"/>
        <c:noMultiLvlLbl val="0"/>
      </c:catAx>
      <c:valAx>
        <c:axId val="1226514816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512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tidalvolume</a:t>
            </a:r>
            <a:r>
              <a:rPr lang="de-DE" baseline="0"/>
              <a:t> after bolus Surfactant application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v>Lung 3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Bolus!$C$7:$C$10</c:f>
              <c:numCache>
                <c:formatCode>0.00</c:formatCode>
                <c:ptCount val="4"/>
                <c:pt idx="0">
                  <c:v>0.72704761900000003</c:v>
                </c:pt>
                <c:pt idx="1">
                  <c:v>0.71750578700000001</c:v>
                </c:pt>
                <c:pt idx="2">
                  <c:v>0.71887500000000004</c:v>
                </c:pt>
                <c:pt idx="3">
                  <c:v>0.72500980400000004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B-45A9-8EEA-6DE9ECA9D47E}"/>
            </c:ext>
          </c:extLst>
        </c:ser>
        <c:ser>
          <c:idx val="0"/>
          <c:order val="1"/>
          <c:tx>
            <c:v>Lung 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Bolus!$A$7:$A$10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Bolus!$B$7:$B$10</c:f>
              <c:numCache>
                <c:formatCode>0.00</c:formatCode>
                <c:ptCount val="4"/>
                <c:pt idx="0">
                  <c:v>1.52</c:v>
                </c:pt>
                <c:pt idx="1">
                  <c:v>1.61</c:v>
                </c:pt>
                <c:pt idx="2">
                  <c:v>1.63</c:v>
                </c:pt>
                <c:pt idx="3">
                  <c:v>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B-45A9-8EEA-6DE9ECA9D47E}"/>
            </c:ext>
          </c:extLst>
        </c:ser>
        <c:ser>
          <c:idx val="1"/>
          <c:order val="2"/>
          <c:tx>
            <c:v>Lung 8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Bolus!$D$7:$D$10</c:f>
              <c:numCache>
                <c:formatCode>0.00</c:formatCode>
                <c:ptCount val="4"/>
                <c:pt idx="0">
                  <c:v>1.43</c:v>
                </c:pt>
                <c:pt idx="1">
                  <c:v>4.7</c:v>
                </c:pt>
                <c:pt idx="2">
                  <c:v>6.75</c:v>
                </c:pt>
                <c:pt idx="3">
                  <c:v>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DB-45A9-8EEA-6DE9ECA9D47E}"/>
            </c:ext>
          </c:extLst>
        </c:ser>
        <c:ser>
          <c:idx val="2"/>
          <c:order val="3"/>
          <c:tx>
            <c:v>Lung 10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Bolus!$F$7:$F$10</c:f>
              <c:numCache>
                <c:formatCode>0.00</c:formatCode>
                <c:ptCount val="4"/>
                <c:pt idx="0">
                  <c:v>0.62</c:v>
                </c:pt>
                <c:pt idx="1">
                  <c:v>4.82</c:v>
                </c:pt>
                <c:pt idx="2">
                  <c:v>8.64</c:v>
                </c:pt>
                <c:pt idx="3">
                  <c:v>10.31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DB-45A9-8EEA-6DE9ECA9D47E}"/>
            </c:ext>
          </c:extLst>
        </c:ser>
        <c:ser>
          <c:idx val="3"/>
          <c:order val="4"/>
          <c:tx>
            <c:v>Lung 12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Bolus!$G$7:$G$10</c:f>
              <c:numCache>
                <c:formatCode>0.00</c:formatCode>
                <c:ptCount val="4"/>
                <c:pt idx="0">
                  <c:v>0.98</c:v>
                </c:pt>
                <c:pt idx="1">
                  <c:v>0.6</c:v>
                </c:pt>
                <c:pt idx="2">
                  <c:v>0.45</c:v>
                </c:pt>
                <c:pt idx="3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DB-45A9-8EEA-6DE9ECA9D47E}"/>
            </c:ext>
          </c:extLst>
        </c:ser>
        <c:ser>
          <c:idx val="4"/>
          <c:order val="5"/>
          <c:tx>
            <c:v>Lung 15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Bolus!$H$7:$H$9</c:f>
              <c:numCache>
                <c:formatCode>0.00</c:formatCode>
                <c:ptCount val="3"/>
                <c:pt idx="0">
                  <c:v>1.48</c:v>
                </c:pt>
                <c:pt idx="1">
                  <c:v>0.47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DB-45A9-8EEA-6DE9ECA9D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6391328"/>
        <c:axId val="1226627200"/>
      </c:barChart>
      <c:catAx>
        <c:axId val="1226391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</a:t>
                </a:r>
                <a:r>
                  <a:rPr lang="de-DE" baseline="0"/>
                  <a:t> (mbar)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627200"/>
        <c:crosses val="autoZero"/>
        <c:auto val="1"/>
        <c:lblAlgn val="ctr"/>
        <c:lblOffset val="100"/>
        <c:noMultiLvlLbl val="0"/>
      </c:catAx>
      <c:valAx>
        <c:axId val="122662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263913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tidal volume</a:t>
            </a:r>
            <a:r>
              <a:rPr lang="de-DE" baseline="0"/>
              <a:t> before nebulized surfactant application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Lung 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Nebulized!$A$2:$A$5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Nebulized!$B$2:$B$5</c:f>
              <c:numCache>
                <c:formatCode>0.00</c:formatCode>
                <c:ptCount val="4"/>
                <c:pt idx="0">
                  <c:v>0.46</c:v>
                </c:pt>
                <c:pt idx="1">
                  <c:v>0.34</c:v>
                </c:pt>
                <c:pt idx="2">
                  <c:v>0.13</c:v>
                </c:pt>
                <c:pt idx="3">
                  <c:v>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B-427C-A59A-B80092895D69}"/>
            </c:ext>
          </c:extLst>
        </c:ser>
        <c:ser>
          <c:idx val="1"/>
          <c:order val="1"/>
          <c:tx>
            <c:v>Lung 7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Nebulized!$C$2:$C$5</c:f>
              <c:numCache>
                <c:formatCode>General</c:formatCode>
                <c:ptCount val="4"/>
                <c:pt idx="0">
                  <c:v>2.25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BB-427C-A59A-B80092895D69}"/>
            </c:ext>
          </c:extLst>
        </c:ser>
        <c:ser>
          <c:idx val="2"/>
          <c:order val="2"/>
          <c:tx>
            <c:v>Lung 13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Nebulized!$D$2:$D$5</c:f>
              <c:numCache>
                <c:formatCode>0.00</c:formatCode>
                <c:ptCount val="4"/>
                <c:pt idx="0">
                  <c:v>1.1200000000000001</c:v>
                </c:pt>
                <c:pt idx="1">
                  <c:v>0.57999999999999996</c:v>
                </c:pt>
                <c:pt idx="2">
                  <c:v>0.22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BB-427C-A59A-B80092895D69}"/>
            </c:ext>
          </c:extLst>
        </c:ser>
        <c:ser>
          <c:idx val="3"/>
          <c:order val="3"/>
          <c:tx>
            <c:v>Lung 16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Nebulized!$E$2:$E$5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BB-427C-A59A-B80092895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773152"/>
        <c:axId val="1335776512"/>
      </c:barChart>
      <c:catAx>
        <c:axId val="1335773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 (mbar)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5776512"/>
        <c:crosses val="autoZero"/>
        <c:auto val="1"/>
        <c:lblAlgn val="ctr"/>
        <c:lblOffset val="100"/>
        <c:noMultiLvlLbl val="0"/>
      </c:catAx>
      <c:valAx>
        <c:axId val="133577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577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tidal volume</a:t>
            </a:r>
            <a:r>
              <a:rPr lang="de-DE" baseline="0"/>
              <a:t> after nebulized surfactant application 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Lung 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Nebulized!$A$13:$A$16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Nebulized!$B$7:$B$10</c:f>
              <c:numCache>
                <c:formatCode>0.00</c:formatCode>
                <c:ptCount val="4"/>
                <c:pt idx="0">
                  <c:v>1.05</c:v>
                </c:pt>
                <c:pt idx="1">
                  <c:v>1.03</c:v>
                </c:pt>
                <c:pt idx="2">
                  <c:v>1.92</c:v>
                </c:pt>
                <c:pt idx="3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A-4279-82B5-ED2B3CA94F95}"/>
            </c:ext>
          </c:extLst>
        </c:ser>
        <c:ser>
          <c:idx val="1"/>
          <c:order val="1"/>
          <c:tx>
            <c:v>Lung 7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Nebulized!$C$7:$C$10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4A-4279-82B5-ED2B3CA94F95}"/>
            </c:ext>
          </c:extLst>
        </c:ser>
        <c:ser>
          <c:idx val="2"/>
          <c:order val="2"/>
          <c:tx>
            <c:v>Lung 13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Nebulized!$D$7:$D$10</c:f>
              <c:numCache>
                <c:formatCode>0.00</c:formatCode>
                <c:ptCount val="4"/>
                <c:pt idx="0">
                  <c:v>0</c:v>
                </c:pt>
                <c:pt idx="1">
                  <c:v>0.02</c:v>
                </c:pt>
                <c:pt idx="2">
                  <c:v>0.11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A-4279-82B5-ED2B3CA94F95}"/>
            </c:ext>
          </c:extLst>
        </c:ser>
        <c:ser>
          <c:idx val="3"/>
          <c:order val="3"/>
          <c:tx>
            <c:v>Lung 16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Nebulized!$E$7:$E$10</c:f>
              <c:numCache>
                <c:formatCode>0.00</c:formatCode>
                <c:ptCount val="4"/>
                <c:pt idx="0">
                  <c:v>0.75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4A-4279-82B5-ED2B3CA94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4592544"/>
        <c:axId val="1334875664"/>
      </c:barChart>
      <c:catAx>
        <c:axId val="1334592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 (mbar)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4875664"/>
        <c:crosses val="autoZero"/>
        <c:auto val="1"/>
        <c:lblAlgn val="ctr"/>
        <c:lblOffset val="100"/>
        <c:noMultiLvlLbl val="0"/>
      </c:catAx>
      <c:valAx>
        <c:axId val="13348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Vt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459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mean difference in tidalvolume nebulized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Nebulized!$A$13:$A$16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Nebulized!$F$13:$F$16</c:f>
              <c:numCache>
                <c:formatCode>General</c:formatCode>
                <c:ptCount val="4"/>
                <c:pt idx="0">
                  <c:v>0.08</c:v>
                </c:pt>
                <c:pt idx="1">
                  <c:v>0.06</c:v>
                </c:pt>
                <c:pt idx="2">
                  <c:v>0.55999999999999994</c:v>
                </c:pt>
                <c:pt idx="3">
                  <c:v>0.19666666666666663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C-48E2-9652-30E4EA970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667600"/>
        <c:axId val="1338759280"/>
      </c:barChart>
      <c:catAx>
        <c:axId val="1335667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 (mbar)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8759280"/>
        <c:crosses val="autoZero"/>
        <c:auto val="1"/>
        <c:lblAlgn val="ctr"/>
        <c:lblOffset val="100"/>
        <c:noMultiLvlLbl val="0"/>
      </c:catAx>
      <c:valAx>
        <c:axId val="133875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difference in 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566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difference in tidalvolume nebulized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Lung 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Nebulized!$A$13:$A$16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cat>
          <c:val>
            <c:numRef>
              <c:f>Nebulized!$B$13:$B$16</c:f>
              <c:numCache>
                <c:formatCode>General</c:formatCode>
                <c:ptCount val="4"/>
                <c:pt idx="0">
                  <c:v>0.59000000000000008</c:v>
                </c:pt>
                <c:pt idx="1">
                  <c:v>0.69</c:v>
                </c:pt>
                <c:pt idx="2">
                  <c:v>1.79</c:v>
                </c:pt>
                <c:pt idx="3">
                  <c:v>0.58999999999999986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7-49B0-90EE-929DB38E8AB3}"/>
            </c:ext>
          </c:extLst>
        </c:ser>
        <c:ser>
          <c:idx val="1"/>
          <c:order val="1"/>
          <c:tx>
            <c:v>Lung 7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Nebulized!$C$13:$C$16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47-49B0-90EE-929DB38E8AB3}"/>
            </c:ext>
          </c:extLst>
        </c:ser>
        <c:ser>
          <c:idx val="2"/>
          <c:order val="2"/>
          <c:tx>
            <c:v>Lung 13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Nebulized!$D$13:$D$16</c:f>
              <c:numCache>
                <c:formatCode>General</c:formatCode>
                <c:ptCount val="4"/>
                <c:pt idx="0">
                  <c:v>-1.1000000000000001</c:v>
                </c:pt>
                <c:pt idx="1">
                  <c:v>-0.55999999999999994</c:v>
                </c:pt>
                <c:pt idx="2">
                  <c:v>-0.11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47-49B0-90EE-929DB38E8AB3}"/>
            </c:ext>
          </c:extLst>
        </c:ser>
        <c:ser>
          <c:idx val="3"/>
          <c:order val="3"/>
          <c:tx>
            <c:v>Lung 16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Nebulized!$E$13:$E$16</c:f>
              <c:numCache>
                <c:formatCode>General</c:formatCode>
                <c:ptCount val="4"/>
                <c:pt idx="0">
                  <c:v>0.75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47-49B0-90EE-929DB38E8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193200"/>
        <c:axId val="1277388944"/>
      </c:barChart>
      <c:catAx>
        <c:axId val="1277193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PEEP</a:t>
                </a:r>
                <a:r>
                  <a:rPr lang="de-DE" baseline="0"/>
                  <a:t> (mbar)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388944"/>
        <c:crosses val="autoZero"/>
        <c:auto val="1"/>
        <c:lblAlgn val="ctr"/>
        <c:lblOffset val="100"/>
        <c:noMultiLvlLbl val="0"/>
      </c:catAx>
      <c:valAx>
        <c:axId val="127738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difference in 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719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image" Target="../media/image3.png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11</xdr:row>
      <xdr:rowOff>101600</xdr:rowOff>
    </xdr:from>
    <xdr:to>
      <xdr:col>13</xdr:col>
      <xdr:colOff>698500</xdr:colOff>
      <xdr:row>25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12</xdr:col>
      <xdr:colOff>693021</xdr:colOff>
      <xdr:row>35</xdr:row>
      <xdr:rowOff>40640</xdr:rowOff>
    </xdr:to>
    <xdr:grpSp>
      <xdr:nvGrpSpPr>
        <xdr:cNvPr id="6" name="Gruppierung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5076825" y="4200525"/>
          <a:ext cx="5722221" cy="2840990"/>
          <a:chOff x="5008880" y="4267200"/>
          <a:chExt cx="5630781" cy="2885440"/>
        </a:xfrm>
      </xdr:grpSpPr>
      <xdr:grpSp>
        <xdr:nvGrpSpPr>
          <xdr:cNvPr id="4" name="Gruppierung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pSpPr/>
        </xdr:nvGrpSpPr>
        <xdr:grpSpPr>
          <a:xfrm>
            <a:off x="5008880" y="4267200"/>
            <a:ext cx="5630781" cy="2423780"/>
            <a:chOff x="5008880" y="4267200"/>
            <a:chExt cx="5630781" cy="2423780"/>
          </a:xfrm>
        </xdr:grpSpPr>
        <xdr:pic>
          <xdr:nvPicPr>
            <xdr:cNvPr id="2" name="Bild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008880" y="4267200"/>
              <a:ext cx="5630781" cy="1707637"/>
            </a:xfrm>
            <a:prstGeom prst="rect">
              <a:avLst/>
            </a:prstGeom>
          </xdr:spPr>
        </xdr:pic>
        <xdr:pic>
          <xdr:nvPicPr>
            <xdr:cNvPr id="3" name="Bild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130800" y="5943600"/>
              <a:ext cx="4961042" cy="747380"/>
            </a:xfrm>
            <a:prstGeom prst="rect">
              <a:avLst/>
            </a:prstGeom>
          </xdr:spPr>
        </xdr:pic>
      </xdr:grpSp>
      <xdr:sp macro="" textlink="">
        <xdr:nvSpPr>
          <xdr:cNvPr id="5" name="Textfeld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/>
        </xdr:nvSpPr>
        <xdr:spPr>
          <a:xfrm>
            <a:off x="5953760" y="6847840"/>
            <a:ext cx="1442720" cy="304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e-DE" sz="1100"/>
              <a:t>falsche Zahlen!!!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491982</xdr:colOff>
      <xdr:row>18</xdr:row>
      <xdr:rowOff>68649</xdr:rowOff>
    </xdr:from>
    <xdr:to>
      <xdr:col>10</xdr:col>
      <xdr:colOff>331802</xdr:colOff>
      <xdr:row>40</xdr:row>
      <xdr:rowOff>118533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358970</xdr:colOff>
      <xdr:row>40</xdr:row>
      <xdr:rowOff>13114</xdr:rowOff>
    </xdr:from>
    <xdr:to>
      <xdr:col>22</xdr:col>
      <xdr:colOff>116513</xdr:colOff>
      <xdr:row>56</xdr:row>
      <xdr:rowOff>34953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126192</xdr:colOff>
      <xdr:row>0</xdr:row>
      <xdr:rowOff>135407</xdr:rowOff>
    </xdr:from>
    <xdr:to>
      <xdr:col>30</xdr:col>
      <xdr:colOff>582139</xdr:colOff>
      <xdr:row>13</xdr:row>
      <xdr:rowOff>157179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7217</xdr:colOff>
      <xdr:row>15</xdr:row>
      <xdr:rowOff>121111</xdr:rowOff>
    </xdr:from>
    <xdr:to>
      <xdr:col>31</xdr:col>
      <xdr:colOff>439386</xdr:colOff>
      <xdr:row>28</xdr:row>
      <xdr:rowOff>172464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663604</xdr:colOff>
      <xdr:row>22</xdr:row>
      <xdr:rowOff>205945</xdr:rowOff>
    </xdr:from>
    <xdr:to>
      <xdr:col>16</xdr:col>
      <xdr:colOff>68649</xdr:colOff>
      <xdr:row>34</xdr:row>
      <xdr:rowOff>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420536</xdr:colOff>
      <xdr:row>26</xdr:row>
      <xdr:rowOff>63242</xdr:rowOff>
    </xdr:from>
    <xdr:to>
      <xdr:col>26</xdr:col>
      <xdr:colOff>29916</xdr:colOff>
      <xdr:row>39</xdr:row>
      <xdr:rowOff>127026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212948</xdr:colOff>
      <xdr:row>0</xdr:row>
      <xdr:rowOff>197555</xdr:rowOff>
    </xdr:from>
    <xdr:to>
      <xdr:col>36</xdr:col>
      <xdr:colOff>688622</xdr:colOff>
      <xdr:row>14</xdr:row>
      <xdr:rowOff>67220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254000</xdr:colOff>
      <xdr:row>11</xdr:row>
      <xdr:rowOff>127000</xdr:rowOff>
    </xdr:from>
    <xdr:to>
      <xdr:col>44</xdr:col>
      <xdr:colOff>596900</xdr:colOff>
      <xdr:row>30</xdr:row>
      <xdr:rowOff>152400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273242</xdr:colOff>
      <xdr:row>33</xdr:row>
      <xdr:rowOff>61960</xdr:rowOff>
    </xdr:from>
    <xdr:to>
      <xdr:col>35</xdr:col>
      <xdr:colOff>708121</xdr:colOff>
      <xdr:row>46</xdr:row>
      <xdr:rowOff>53493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673485</xdr:colOff>
      <xdr:row>47</xdr:row>
      <xdr:rowOff>134697</xdr:rowOff>
    </xdr:from>
    <xdr:to>
      <xdr:col>13</xdr:col>
      <xdr:colOff>409478</xdr:colOff>
      <xdr:row>67</xdr:row>
      <xdr:rowOff>130463</xdr:rowOff>
    </xdr:to>
    <xdr:pic>
      <xdr:nvPicPr>
        <xdr:cNvPr id="15" name="Bild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28333" y="10083030"/>
          <a:ext cx="9626600" cy="4229100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0.79722</cdr:x>
      <cdr:y>0.93849</cdr:y>
    </cdr:from>
    <cdr:to>
      <cdr:x>0.93838</cdr:x>
      <cdr:y>0.98623</cdr:y>
    </cdr:to>
    <cdr:sp macro="" textlink="">
      <cdr:nvSpPr>
        <cdr:cNvPr id="2" name="Textfeld 1"/>
        <cdr:cNvSpPr txBox="1"/>
      </cdr:nvSpPr>
      <cdr:spPr>
        <a:xfrm xmlns:a="http://schemas.openxmlformats.org/drawingml/2006/main">
          <a:off x="5514927" y="4421971"/>
          <a:ext cx="976563" cy="224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de-DE" sz="1100">
              <a:solidFill>
                <a:schemeClr val="tx1">
                  <a:lumMod val="75000"/>
                  <a:lumOff val="25000"/>
                </a:schemeClr>
              </a:solidFill>
            </a:rPr>
            <a:t>PEEP (mbar)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234950</xdr:colOff>
      <xdr:row>7</xdr:row>
      <xdr:rowOff>63500</xdr:rowOff>
    </xdr:from>
    <xdr:to>
      <xdr:col>15</xdr:col>
      <xdr:colOff>679450</xdr:colOff>
      <xdr:row>20</xdr:row>
      <xdr:rowOff>165100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209550</xdr:colOff>
      <xdr:row>19</xdr:row>
      <xdr:rowOff>38100</xdr:rowOff>
    </xdr:from>
    <xdr:to>
      <xdr:col>14</xdr:col>
      <xdr:colOff>654050</xdr:colOff>
      <xdr:row>32</xdr:row>
      <xdr:rowOff>139700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819092</xdr:colOff>
      <xdr:row>15</xdr:row>
      <xdr:rowOff>189685</xdr:rowOff>
    </xdr:from>
    <xdr:to>
      <xdr:col>21</xdr:col>
      <xdr:colOff>427606</xdr:colOff>
      <xdr:row>29</xdr:row>
      <xdr:rowOff>159858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61752</xdr:colOff>
      <xdr:row>1</xdr:row>
      <xdr:rowOff>131428</xdr:rowOff>
    </xdr:from>
    <xdr:to>
      <xdr:col>21</xdr:col>
      <xdr:colOff>497513</xdr:colOff>
      <xdr:row>15</xdr:row>
      <xdr:rowOff>101600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11</xdr:row>
      <xdr:rowOff>165100</xdr:rowOff>
    </xdr:from>
    <xdr:to>
      <xdr:col>14</xdr:col>
      <xdr:colOff>774700</xdr:colOff>
      <xdr:row>28</xdr:row>
      <xdr:rowOff>88900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260350</xdr:colOff>
      <xdr:row>28</xdr:row>
      <xdr:rowOff>139700</xdr:rowOff>
    </xdr:from>
    <xdr:to>
      <xdr:col>14</xdr:col>
      <xdr:colOff>787400</xdr:colOff>
      <xdr:row>44</xdr:row>
      <xdr:rowOff>101600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361950</xdr:colOff>
      <xdr:row>30</xdr:row>
      <xdr:rowOff>190500</xdr:rowOff>
    </xdr:from>
    <xdr:to>
      <xdr:col>7</xdr:col>
      <xdr:colOff>806450</xdr:colOff>
      <xdr:row>44</xdr:row>
      <xdr:rowOff>88900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262467</xdr:colOff>
      <xdr:row>11</xdr:row>
      <xdr:rowOff>84667</xdr:rowOff>
    </xdr:from>
    <xdr:to>
      <xdr:col>20</xdr:col>
      <xdr:colOff>685800</xdr:colOff>
      <xdr:row>24</xdr:row>
      <xdr:rowOff>186267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" sqref="D1"/>
    </sheetView>
  </sheetViews>
  <sheetFormatPr defaultColWidth="11" defaultRowHeight="15.95"/>
  <sheetData>
    <row r="1" spans="1:3">
      <c r="A1" s="42" t="s">
        <v>0</v>
      </c>
      <c r="B1" s="42" t="s">
        <v>1</v>
      </c>
      <c r="C1" s="43">
        <v>44658</v>
      </c>
    </row>
    <row r="2" spans="1:3">
      <c r="A2" s="42" t="s">
        <v>2</v>
      </c>
      <c r="B2" s="42"/>
      <c r="C2" s="43">
        <v>44659</v>
      </c>
    </row>
    <row r="3" spans="1:3">
      <c r="A3" s="42" t="s">
        <v>3</v>
      </c>
      <c r="B3" s="42" t="s">
        <v>4</v>
      </c>
      <c r="C3" s="43">
        <v>44662</v>
      </c>
    </row>
    <row r="4" spans="1:3">
      <c r="A4" s="42" t="s">
        <v>5</v>
      </c>
      <c r="B4" s="42" t="s">
        <v>4</v>
      </c>
      <c r="C4" s="43">
        <v>44671</v>
      </c>
    </row>
    <row r="5" spans="1:3">
      <c r="A5" s="42" t="s">
        <v>6</v>
      </c>
      <c r="B5" s="42" t="s">
        <v>1</v>
      </c>
      <c r="C5" s="43">
        <v>44671</v>
      </c>
    </row>
    <row r="6" spans="1:3">
      <c r="A6" s="42" t="s">
        <v>7</v>
      </c>
      <c r="B6" s="42" t="s">
        <v>4</v>
      </c>
      <c r="C6" s="43">
        <v>44763</v>
      </c>
    </row>
    <row r="7" spans="1:3">
      <c r="A7" s="42" t="s">
        <v>8</v>
      </c>
      <c r="B7" s="42" t="s">
        <v>1</v>
      </c>
      <c r="C7" s="43">
        <v>44764</v>
      </c>
    </row>
    <row r="8" spans="1:3">
      <c r="A8" s="42" t="s">
        <v>9</v>
      </c>
      <c r="B8" s="42" t="s">
        <v>4</v>
      </c>
      <c r="C8" s="43">
        <v>44950</v>
      </c>
    </row>
    <row r="9" spans="1:3">
      <c r="A9" s="42" t="s">
        <v>10</v>
      </c>
      <c r="B9" s="42" t="s">
        <v>4</v>
      </c>
      <c r="C9" s="43">
        <v>44957</v>
      </c>
    </row>
    <row r="10" spans="1:3">
      <c r="A10" s="42" t="s">
        <v>11</v>
      </c>
      <c r="B10" s="42" t="s">
        <v>4</v>
      </c>
      <c r="C10" s="43">
        <v>44958</v>
      </c>
    </row>
    <row r="11" spans="1:3">
      <c r="A11" s="42" t="s">
        <v>12</v>
      </c>
      <c r="B11" s="42"/>
      <c r="C11" s="43">
        <v>44958</v>
      </c>
    </row>
    <row r="12" spans="1:3">
      <c r="A12" s="42" t="s">
        <v>13</v>
      </c>
      <c r="B12" s="42" t="s">
        <v>4</v>
      </c>
      <c r="C12" s="43">
        <v>44977</v>
      </c>
    </row>
    <row r="13" spans="1:3">
      <c r="A13" s="42" t="s">
        <v>14</v>
      </c>
      <c r="B13" s="42" t="s">
        <v>1</v>
      </c>
      <c r="C13" s="43">
        <v>44977</v>
      </c>
    </row>
    <row r="14" spans="1:3">
      <c r="A14" s="42" t="s">
        <v>15</v>
      </c>
      <c r="B14" s="42"/>
      <c r="C14" s="43">
        <v>44984</v>
      </c>
    </row>
    <row r="15" spans="1:3">
      <c r="A15" s="42" t="s">
        <v>16</v>
      </c>
      <c r="B15" s="42" t="s">
        <v>4</v>
      </c>
      <c r="C15" s="43">
        <v>44984</v>
      </c>
    </row>
    <row r="16" spans="1:3">
      <c r="A16" s="42" t="s">
        <v>17</v>
      </c>
      <c r="B16" s="42" t="s">
        <v>1</v>
      </c>
      <c r="C16" s="43">
        <v>44994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8"/>
  <sheetViews>
    <sheetView topLeftCell="A49" zoomScale="131" workbookViewId="0">
      <selection activeCell="C68" sqref="A53:C68"/>
    </sheetView>
  </sheetViews>
  <sheetFormatPr defaultColWidth="11" defaultRowHeight="15.95"/>
  <cols>
    <col min="5" max="5" width="44.5" customWidth="1"/>
    <col min="6" max="6" width="37" customWidth="1"/>
    <col min="11" max="11" width="15.375" customWidth="1"/>
    <col min="12" max="12" width="16.125" customWidth="1"/>
  </cols>
  <sheetData>
    <row r="1" spans="1:18">
      <c r="A1" s="28" t="s">
        <v>18</v>
      </c>
      <c r="B1" s="29">
        <v>1</v>
      </c>
      <c r="C1" s="29">
        <v>2</v>
      </c>
      <c r="D1" s="30" t="s">
        <v>19</v>
      </c>
      <c r="E1" s="30" t="s">
        <v>20</v>
      </c>
      <c r="F1" s="30" t="s">
        <v>21</v>
      </c>
      <c r="G1" s="29">
        <v>6</v>
      </c>
      <c r="H1" s="29">
        <v>7</v>
      </c>
      <c r="I1" s="30" t="s">
        <v>22</v>
      </c>
      <c r="J1" s="29" t="s">
        <v>23</v>
      </c>
      <c r="K1" s="30" t="s">
        <v>24</v>
      </c>
      <c r="L1" s="29">
        <v>11</v>
      </c>
      <c r="M1" s="30" t="s">
        <v>25</v>
      </c>
      <c r="N1" s="30" t="s">
        <v>26</v>
      </c>
      <c r="O1" s="29">
        <v>14</v>
      </c>
      <c r="P1" s="30" t="s">
        <v>27</v>
      </c>
      <c r="Q1" s="30" t="s">
        <v>28</v>
      </c>
      <c r="R1" s="31" t="s">
        <v>29</v>
      </c>
    </row>
    <row r="2" spans="1:18">
      <c r="A2" s="32">
        <v>0</v>
      </c>
      <c r="B2" s="33"/>
      <c r="C2" s="33"/>
      <c r="D2" s="22">
        <v>0.31395694400000002</v>
      </c>
      <c r="E2" s="22">
        <v>0.3</v>
      </c>
      <c r="F2" s="22">
        <v>0.46</v>
      </c>
      <c r="G2" s="23">
        <v>2.9230542929999999</v>
      </c>
      <c r="H2" s="23">
        <v>1.21553972</v>
      </c>
      <c r="I2" s="22">
        <v>0.03</v>
      </c>
      <c r="J2" s="23">
        <v>0</v>
      </c>
      <c r="K2" s="22">
        <v>0</v>
      </c>
      <c r="L2" s="23">
        <v>0</v>
      </c>
      <c r="M2" s="22">
        <v>1.1299999999999999</v>
      </c>
      <c r="N2" s="22">
        <v>1.1200000000000001</v>
      </c>
      <c r="O2" s="23" t="s">
        <v>30</v>
      </c>
      <c r="P2" s="22">
        <v>1.2</v>
      </c>
      <c r="Q2" s="22">
        <v>0</v>
      </c>
      <c r="R2" s="34"/>
    </row>
    <row r="3" spans="1:18">
      <c r="A3" s="32">
        <v>5</v>
      </c>
      <c r="B3" s="33"/>
      <c r="C3" s="33"/>
      <c r="D3" s="22">
        <v>0.23289342099999999</v>
      </c>
      <c r="E3" s="22">
        <v>0.22</v>
      </c>
      <c r="F3" s="22">
        <v>0.34</v>
      </c>
      <c r="G3" s="23">
        <v>16.43578333</v>
      </c>
      <c r="H3" s="23">
        <v>18.567364999999999</v>
      </c>
      <c r="I3" s="22">
        <v>1.63</v>
      </c>
      <c r="J3" s="23">
        <v>0</v>
      </c>
      <c r="K3" s="22">
        <v>0</v>
      </c>
      <c r="L3" s="23">
        <v>0</v>
      </c>
      <c r="M3" s="22">
        <v>0.04</v>
      </c>
      <c r="N3" s="22">
        <v>0.57999999999999996</v>
      </c>
      <c r="O3" s="23" t="s">
        <v>30</v>
      </c>
      <c r="P3" s="22">
        <v>0.81</v>
      </c>
      <c r="Q3" s="22">
        <v>0</v>
      </c>
      <c r="R3" s="34"/>
    </row>
    <row r="4" spans="1:18">
      <c r="A4" s="32">
        <v>10</v>
      </c>
      <c r="B4" s="33"/>
      <c r="C4" s="33"/>
      <c r="D4" s="22">
        <v>0.21215711800000001</v>
      </c>
      <c r="E4" s="22">
        <v>0.08</v>
      </c>
      <c r="F4" s="22">
        <v>0.13</v>
      </c>
      <c r="G4" s="23">
        <v>28.914103399999998</v>
      </c>
      <c r="H4" s="23">
        <v>47.439531100000004</v>
      </c>
      <c r="I4" s="22">
        <v>4.16</v>
      </c>
      <c r="J4" s="23">
        <v>0</v>
      </c>
      <c r="K4" s="22">
        <v>0</v>
      </c>
      <c r="L4" s="23">
        <v>0</v>
      </c>
      <c r="M4" s="22">
        <v>0</v>
      </c>
      <c r="N4" s="22">
        <v>0.22</v>
      </c>
      <c r="O4" s="23" t="s">
        <v>30</v>
      </c>
      <c r="P4" s="22">
        <v>0.08</v>
      </c>
      <c r="Q4" s="22">
        <v>0</v>
      </c>
      <c r="R4" s="34"/>
    </row>
    <row r="5" spans="1:18">
      <c r="A5" s="32">
        <v>15</v>
      </c>
      <c r="B5" s="33"/>
      <c r="C5" s="33"/>
      <c r="D5" s="22">
        <v>0.20831416699999999</v>
      </c>
      <c r="E5" s="22">
        <v>0.04</v>
      </c>
      <c r="F5" s="22">
        <v>1.71</v>
      </c>
      <c r="G5" s="23">
        <v>39.200051590000001</v>
      </c>
      <c r="H5" s="23">
        <v>49.431887889999999</v>
      </c>
      <c r="I5" s="22">
        <v>8.3800000000000008</v>
      </c>
      <c r="J5" s="23">
        <v>0</v>
      </c>
      <c r="K5" s="22">
        <v>0</v>
      </c>
      <c r="L5" s="23">
        <v>0</v>
      </c>
      <c r="M5" s="22">
        <v>0</v>
      </c>
      <c r="N5" s="22">
        <v>0</v>
      </c>
      <c r="O5" s="23" t="s">
        <v>30</v>
      </c>
      <c r="P5" s="22" t="s">
        <v>30</v>
      </c>
      <c r="Q5" s="22">
        <v>0</v>
      </c>
      <c r="R5" s="34"/>
    </row>
    <row r="6" spans="1:18">
      <c r="A6" s="32" t="s">
        <v>31</v>
      </c>
      <c r="B6" s="33"/>
      <c r="C6" s="33"/>
      <c r="D6" s="22"/>
      <c r="E6" s="22"/>
      <c r="F6" s="22"/>
      <c r="G6" s="23"/>
      <c r="H6" s="23"/>
      <c r="I6" s="22"/>
      <c r="J6" s="23"/>
      <c r="K6" s="22"/>
      <c r="L6" s="23" t="s">
        <v>32</v>
      </c>
      <c r="M6" s="22"/>
      <c r="N6" s="22"/>
      <c r="O6" s="23"/>
      <c r="P6" s="22"/>
      <c r="Q6" s="22"/>
      <c r="R6" s="34"/>
    </row>
    <row r="7" spans="1:18">
      <c r="A7" s="32">
        <v>0</v>
      </c>
      <c r="B7" s="33"/>
      <c r="C7" s="33"/>
      <c r="D7" s="22">
        <v>0.72704761900000003</v>
      </c>
      <c r="E7" s="22">
        <v>1.52</v>
      </c>
      <c r="F7" s="22">
        <v>1.05</v>
      </c>
      <c r="G7" s="23">
        <v>2.677139167</v>
      </c>
      <c r="H7" s="23">
        <v>68.464517540000003</v>
      </c>
      <c r="I7" s="22">
        <v>1.43</v>
      </c>
      <c r="J7" s="23">
        <v>0</v>
      </c>
      <c r="K7" s="22">
        <v>0.62</v>
      </c>
      <c r="L7" s="23">
        <v>0</v>
      </c>
      <c r="M7" s="22">
        <v>0.98</v>
      </c>
      <c r="N7" s="22">
        <v>0</v>
      </c>
      <c r="O7" s="23" t="s">
        <v>30</v>
      </c>
      <c r="P7" s="22">
        <v>1.48</v>
      </c>
      <c r="Q7" s="22">
        <v>0.75</v>
      </c>
      <c r="R7" s="34"/>
    </row>
    <row r="8" spans="1:18">
      <c r="A8" s="32">
        <v>5</v>
      </c>
      <c r="B8" s="33"/>
      <c r="C8" s="33"/>
      <c r="D8" s="22">
        <v>0.71750578700000001</v>
      </c>
      <c r="E8" s="22">
        <v>1.61</v>
      </c>
      <c r="F8" s="22">
        <v>1.03</v>
      </c>
      <c r="G8" s="23">
        <v>16.631889170000001</v>
      </c>
      <c r="H8" s="23">
        <v>57.570828280000001</v>
      </c>
      <c r="I8" s="22">
        <v>4.7</v>
      </c>
      <c r="J8" s="23">
        <v>0</v>
      </c>
      <c r="K8" s="22">
        <v>4.82</v>
      </c>
      <c r="L8" s="23">
        <v>4.4000000000000004</v>
      </c>
      <c r="M8" s="22">
        <v>0.6</v>
      </c>
      <c r="N8" s="22">
        <v>0.02</v>
      </c>
      <c r="O8" s="23" t="s">
        <v>30</v>
      </c>
      <c r="P8" s="22">
        <v>0.47</v>
      </c>
      <c r="Q8" s="22">
        <v>0.05</v>
      </c>
      <c r="R8" s="34"/>
    </row>
    <row r="9" spans="1:18">
      <c r="A9" s="32">
        <v>10</v>
      </c>
      <c r="B9" s="33"/>
      <c r="C9" s="33"/>
      <c r="D9" s="22">
        <v>0.71887500000000004</v>
      </c>
      <c r="E9" s="22">
        <v>1.63</v>
      </c>
      <c r="F9" s="22">
        <v>1.92</v>
      </c>
      <c r="G9" s="23">
        <v>28.580627450000001</v>
      </c>
      <c r="H9" s="23">
        <v>42.501531669999999</v>
      </c>
      <c r="I9" s="22">
        <v>6.75</v>
      </c>
      <c r="J9" s="23">
        <v>0</v>
      </c>
      <c r="K9" s="22">
        <v>8.64</v>
      </c>
      <c r="L9" s="23">
        <v>7.85</v>
      </c>
      <c r="M9" s="22">
        <v>0.45</v>
      </c>
      <c r="N9" s="22">
        <v>0.11</v>
      </c>
      <c r="O9" s="23" t="s">
        <v>30</v>
      </c>
      <c r="P9" s="22">
        <v>0.1</v>
      </c>
      <c r="Q9" s="22">
        <v>0</v>
      </c>
      <c r="R9" s="34"/>
    </row>
    <row r="10" spans="1:18">
      <c r="A10" s="32">
        <v>15</v>
      </c>
      <c r="B10" s="33" t="s">
        <v>33</v>
      </c>
      <c r="C10" s="33"/>
      <c r="D10" s="22">
        <v>0.72500980400000004</v>
      </c>
      <c r="E10" s="22">
        <v>1.62</v>
      </c>
      <c r="F10" s="22">
        <v>2.2999999999999998</v>
      </c>
      <c r="G10" s="23">
        <v>41.815943449999999</v>
      </c>
      <c r="H10" s="23">
        <v>24.209506820000001</v>
      </c>
      <c r="I10" s="22">
        <v>7.68</v>
      </c>
      <c r="J10" s="23">
        <v>0</v>
      </c>
      <c r="K10" s="22">
        <v>10.31</v>
      </c>
      <c r="L10" s="23">
        <v>10.25</v>
      </c>
      <c r="M10" s="22">
        <v>0.33</v>
      </c>
      <c r="N10" s="22">
        <v>0</v>
      </c>
      <c r="O10" s="23" t="s">
        <v>30</v>
      </c>
      <c r="P10" s="22" t="s">
        <v>30</v>
      </c>
      <c r="Q10" s="22">
        <v>0</v>
      </c>
      <c r="R10" s="22" t="s">
        <v>34</v>
      </c>
    </row>
    <row r="11" spans="1:18">
      <c r="A11" s="25"/>
      <c r="B11" s="25"/>
      <c r="C11" s="25"/>
      <c r="D11" s="25"/>
      <c r="E11" s="25"/>
      <c r="F11" s="25"/>
      <c r="G11" s="33" t="s">
        <v>35</v>
      </c>
      <c r="H11" s="33" t="s">
        <v>36</v>
      </c>
      <c r="I11" s="25"/>
      <c r="J11" s="33" t="s">
        <v>37</v>
      </c>
      <c r="K11" s="25"/>
      <c r="L11" s="33" t="s">
        <v>38</v>
      </c>
      <c r="M11" s="35">
        <v>3.9300000000000002E-2</v>
      </c>
      <c r="N11" s="35">
        <v>2.5399999999999999E-2</v>
      </c>
      <c r="O11" s="36">
        <v>3.2899999999999999E-2</v>
      </c>
      <c r="P11" s="35">
        <v>4.36E-2</v>
      </c>
      <c r="Q11" s="35">
        <v>2.0400000000000001E-2</v>
      </c>
      <c r="R11" s="36" t="s">
        <v>39</v>
      </c>
    </row>
    <row r="12" spans="1:18">
      <c r="A12" s="25"/>
      <c r="B12" s="25"/>
      <c r="C12" s="25"/>
      <c r="D12" s="25"/>
      <c r="E12" s="25"/>
      <c r="F12" s="25"/>
      <c r="G12" s="25"/>
      <c r="H12" s="25"/>
      <c r="I12" s="37">
        <v>1</v>
      </c>
      <c r="J12" s="37">
        <v>2</v>
      </c>
      <c r="K12" s="37">
        <v>3</v>
      </c>
      <c r="L12" s="37">
        <v>4</v>
      </c>
      <c r="M12" s="38">
        <v>5</v>
      </c>
      <c r="N12" s="38">
        <v>6</v>
      </c>
      <c r="O12" s="37">
        <v>7</v>
      </c>
      <c r="P12" s="38">
        <v>8</v>
      </c>
      <c r="Q12" s="38">
        <v>9</v>
      </c>
      <c r="R12" s="37">
        <v>2023</v>
      </c>
    </row>
    <row r="13" spans="1:18">
      <c r="A13" s="25"/>
      <c r="B13" s="25"/>
      <c r="C13" s="25"/>
      <c r="D13" s="25"/>
      <c r="E13" s="25"/>
      <c r="F13" s="25" t="s">
        <v>40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>
      <c r="A14" s="25" t="s">
        <v>41</v>
      </c>
      <c r="B14" s="25">
        <v>0</v>
      </c>
      <c r="C14" s="25">
        <v>5</v>
      </c>
      <c r="D14" s="25">
        <v>10</v>
      </c>
      <c r="E14" s="25">
        <v>15</v>
      </c>
      <c r="F14" s="25"/>
      <c r="G14" s="25">
        <v>0</v>
      </c>
      <c r="H14" s="25">
        <v>5</v>
      </c>
      <c r="I14" s="25">
        <v>10</v>
      </c>
      <c r="J14" s="25">
        <v>15</v>
      </c>
      <c r="K14" s="25" t="s">
        <v>42</v>
      </c>
      <c r="L14" s="25"/>
      <c r="M14" s="25"/>
      <c r="N14" s="25"/>
      <c r="O14" s="25"/>
      <c r="P14" s="25"/>
      <c r="Q14" s="25"/>
      <c r="R14" s="25"/>
    </row>
    <row r="15" spans="1:18">
      <c r="A15" s="25">
        <v>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>
      <c r="A16" s="25">
        <v>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>
      <c r="A17" s="25">
        <v>3</v>
      </c>
      <c r="B17" s="25">
        <v>0.31</v>
      </c>
      <c r="C17" s="25">
        <v>0.23</v>
      </c>
      <c r="D17" s="25">
        <v>0.21</v>
      </c>
      <c r="E17" s="25">
        <v>0.21</v>
      </c>
      <c r="F17" s="25" t="s">
        <v>4</v>
      </c>
      <c r="G17" s="25">
        <v>0.73</v>
      </c>
      <c r="H17" s="25">
        <v>0.72</v>
      </c>
      <c r="I17" s="25">
        <v>0.72</v>
      </c>
      <c r="J17" s="22">
        <v>0.72500980400000004</v>
      </c>
      <c r="K17" s="25" t="s">
        <v>43</v>
      </c>
      <c r="L17" s="25"/>
      <c r="M17" s="25"/>
      <c r="N17" s="25"/>
      <c r="O17" s="25"/>
      <c r="P17" s="25"/>
      <c r="Q17" s="25"/>
      <c r="R17" s="25"/>
    </row>
    <row r="18" spans="1:18">
      <c r="A18" s="25">
        <v>4</v>
      </c>
      <c r="B18" s="22">
        <v>0.3</v>
      </c>
      <c r="C18" s="22">
        <v>0.22</v>
      </c>
      <c r="D18" s="22">
        <v>0.08</v>
      </c>
      <c r="E18" s="22">
        <v>0.04</v>
      </c>
      <c r="F18" s="25" t="s">
        <v>4</v>
      </c>
      <c r="G18" s="22">
        <v>1.52</v>
      </c>
      <c r="H18" s="22">
        <v>1.61</v>
      </c>
      <c r="I18" s="22">
        <v>1.63</v>
      </c>
      <c r="J18" s="22">
        <v>1.62</v>
      </c>
      <c r="K18" s="25" t="s">
        <v>43</v>
      </c>
      <c r="L18" s="25"/>
      <c r="M18" s="25"/>
      <c r="N18" s="25"/>
      <c r="O18" s="25"/>
      <c r="P18" s="25"/>
      <c r="Q18" s="25"/>
      <c r="R18" s="25"/>
    </row>
    <row r="19" spans="1:18">
      <c r="A19" s="25">
        <v>5</v>
      </c>
      <c r="B19" s="22">
        <v>0.46</v>
      </c>
      <c r="C19" s="22">
        <v>0.34</v>
      </c>
      <c r="D19" s="22">
        <v>0.13</v>
      </c>
      <c r="E19" s="22">
        <v>1.71</v>
      </c>
      <c r="F19" s="25" t="s">
        <v>1</v>
      </c>
      <c r="G19" s="22">
        <v>1.05</v>
      </c>
      <c r="H19" s="22">
        <v>1.03</v>
      </c>
      <c r="I19" s="22">
        <v>1.92</v>
      </c>
      <c r="J19" s="22">
        <v>2.2999999999999998</v>
      </c>
      <c r="K19" s="25" t="s">
        <v>43</v>
      </c>
      <c r="L19" s="25"/>
      <c r="M19" s="25"/>
      <c r="N19" s="25"/>
      <c r="O19" s="25"/>
      <c r="P19" s="25"/>
      <c r="Q19" s="25"/>
      <c r="R19" s="25"/>
    </row>
    <row r="20" spans="1:18">
      <c r="A20" s="25">
        <v>6</v>
      </c>
      <c r="B20" s="23">
        <v>2.9230542929999999</v>
      </c>
      <c r="C20" s="23">
        <v>16.43578333</v>
      </c>
      <c r="D20" s="23">
        <v>28.914103399999998</v>
      </c>
      <c r="E20" s="23">
        <v>39.200051590000001</v>
      </c>
      <c r="F20" s="25"/>
      <c r="G20" s="23">
        <v>2.677139167</v>
      </c>
      <c r="H20" s="23">
        <v>16.631889170000001</v>
      </c>
      <c r="I20" s="23">
        <v>28.580627450000001</v>
      </c>
      <c r="J20" s="23">
        <v>41.815943449999999</v>
      </c>
      <c r="K20" s="25" t="s">
        <v>44</v>
      </c>
      <c r="L20" s="25"/>
      <c r="M20" s="25"/>
      <c r="N20" s="25"/>
      <c r="O20" s="25"/>
      <c r="P20" s="25"/>
      <c r="Q20" s="25"/>
      <c r="R20" s="25"/>
    </row>
    <row r="21" spans="1:18">
      <c r="A21" s="25">
        <v>7</v>
      </c>
      <c r="B21" s="23">
        <v>1.21553972</v>
      </c>
      <c r="C21" s="23">
        <v>18.567364999999999</v>
      </c>
      <c r="D21" s="23">
        <v>47.439531100000004</v>
      </c>
      <c r="E21" s="23">
        <v>49.431887889999999</v>
      </c>
      <c r="F21" s="25"/>
      <c r="G21" s="23">
        <v>68.464517540000003</v>
      </c>
      <c r="H21" s="23">
        <v>57.570828280000001</v>
      </c>
      <c r="I21" s="23">
        <v>42.501531669999999</v>
      </c>
      <c r="J21" s="23">
        <v>24.209506820000001</v>
      </c>
      <c r="K21" s="25" t="s">
        <v>44</v>
      </c>
      <c r="L21" s="25"/>
      <c r="M21" s="25"/>
      <c r="N21" s="25"/>
      <c r="O21" s="25"/>
      <c r="P21" s="25"/>
      <c r="Q21" s="25"/>
      <c r="R21" s="25"/>
    </row>
    <row r="22" spans="1:18">
      <c r="A22" s="25">
        <v>8</v>
      </c>
      <c r="B22" s="25">
        <v>0</v>
      </c>
      <c r="C22" s="22">
        <v>1.8</v>
      </c>
      <c r="D22" s="22">
        <v>4.2</v>
      </c>
      <c r="E22" s="22">
        <v>8.4</v>
      </c>
      <c r="F22" s="25" t="s">
        <v>4</v>
      </c>
      <c r="G22" s="22">
        <v>1.5</v>
      </c>
      <c r="H22" s="22">
        <v>4.7</v>
      </c>
      <c r="I22" s="22">
        <v>6.9</v>
      </c>
      <c r="J22" s="22">
        <v>7.8</v>
      </c>
      <c r="K22" s="25" t="s">
        <v>43</v>
      </c>
      <c r="L22" s="25"/>
      <c r="M22" s="25"/>
      <c r="N22" s="25"/>
      <c r="O22" s="25"/>
      <c r="P22" s="25"/>
      <c r="Q22" s="25"/>
      <c r="R22" s="25"/>
    </row>
    <row r="23" spans="1:18">
      <c r="A23" s="25">
        <v>9</v>
      </c>
      <c r="B23" s="25">
        <v>0</v>
      </c>
      <c r="C23" s="25">
        <v>0</v>
      </c>
      <c r="D23" s="25">
        <v>0</v>
      </c>
      <c r="E23" s="25">
        <v>0</v>
      </c>
      <c r="F23" s="25" t="s">
        <v>4</v>
      </c>
      <c r="G23" s="39">
        <v>0</v>
      </c>
      <c r="H23" s="39">
        <v>0</v>
      </c>
      <c r="I23" s="39">
        <v>0</v>
      </c>
      <c r="J23" s="39">
        <v>0</v>
      </c>
      <c r="K23" s="25" t="s">
        <v>44</v>
      </c>
      <c r="L23" s="25"/>
      <c r="M23" s="25"/>
      <c r="N23" s="25"/>
      <c r="O23" s="25"/>
      <c r="P23" s="25"/>
      <c r="Q23" s="25"/>
      <c r="R23" s="25"/>
    </row>
    <row r="24" spans="1:18">
      <c r="A24" s="25">
        <v>10</v>
      </c>
      <c r="B24" s="25">
        <v>0</v>
      </c>
      <c r="C24" s="25">
        <v>0</v>
      </c>
      <c r="D24" s="25">
        <v>0</v>
      </c>
      <c r="E24" s="25">
        <v>0</v>
      </c>
      <c r="F24" s="25" t="s">
        <v>4</v>
      </c>
      <c r="G24" s="39">
        <v>0.6</v>
      </c>
      <c r="H24" s="39">
        <v>4.8</v>
      </c>
      <c r="I24" s="39">
        <v>8.6</v>
      </c>
      <c r="J24" s="39">
        <v>10.4</v>
      </c>
      <c r="K24" s="25" t="s">
        <v>43</v>
      </c>
      <c r="L24" s="25"/>
      <c r="M24" s="25"/>
      <c r="N24" s="25"/>
      <c r="O24" s="25"/>
      <c r="P24" s="25"/>
      <c r="Q24" s="25"/>
      <c r="R24" s="25"/>
    </row>
    <row r="25" spans="1:18">
      <c r="A25" s="25">
        <v>11</v>
      </c>
      <c r="B25" s="25">
        <v>0</v>
      </c>
      <c r="C25" s="25">
        <v>0</v>
      </c>
      <c r="D25" s="25">
        <v>0</v>
      </c>
      <c r="E25" s="25">
        <v>0</v>
      </c>
      <c r="F25" s="25"/>
      <c r="G25" s="39">
        <v>0</v>
      </c>
      <c r="H25" s="39">
        <v>4.4000000000000004</v>
      </c>
      <c r="I25" s="39">
        <v>7.9</v>
      </c>
      <c r="J25" s="39">
        <v>10.25</v>
      </c>
      <c r="K25" s="25" t="s">
        <v>44</v>
      </c>
      <c r="L25" s="25" t="s">
        <v>45</v>
      </c>
      <c r="M25" s="25"/>
      <c r="N25" s="25"/>
      <c r="O25" s="25"/>
      <c r="P25" s="25"/>
      <c r="Q25" s="25"/>
      <c r="R25" s="25"/>
    </row>
    <row r="26" spans="1:18">
      <c r="A26" s="25">
        <v>12</v>
      </c>
      <c r="B26" s="25">
        <v>1.1499999999999999</v>
      </c>
      <c r="C26" s="25">
        <v>0.05</v>
      </c>
      <c r="D26" s="25">
        <v>0</v>
      </c>
      <c r="E26" s="25">
        <v>0</v>
      </c>
      <c r="F26" s="25" t="s">
        <v>4</v>
      </c>
      <c r="G26" s="39">
        <v>1.9</v>
      </c>
      <c r="H26" s="39">
        <v>1</v>
      </c>
      <c r="I26" s="39">
        <v>0.6</v>
      </c>
      <c r="J26" s="39">
        <v>0.4</v>
      </c>
      <c r="K26" s="25" t="s">
        <v>43</v>
      </c>
      <c r="L26" s="35">
        <v>3.9300000000000002E-2</v>
      </c>
      <c r="M26" s="25"/>
      <c r="N26" s="25"/>
      <c r="O26" s="25"/>
      <c r="P26" s="25"/>
      <c r="Q26" s="25"/>
      <c r="R26" s="25"/>
    </row>
    <row r="27" spans="1:18">
      <c r="A27" s="25">
        <v>13</v>
      </c>
      <c r="B27" s="25">
        <v>1.1000000000000001</v>
      </c>
      <c r="C27" s="25">
        <v>0.6</v>
      </c>
      <c r="D27" s="25">
        <v>0.25</v>
      </c>
      <c r="E27" s="25">
        <v>0</v>
      </c>
      <c r="F27" s="25" t="s">
        <v>1</v>
      </c>
      <c r="G27" s="39">
        <v>0</v>
      </c>
      <c r="H27" s="39">
        <v>0.01</v>
      </c>
      <c r="I27" s="39">
        <v>0.1</v>
      </c>
      <c r="J27" s="39">
        <v>0</v>
      </c>
      <c r="K27" s="25" t="s">
        <v>43</v>
      </c>
      <c r="L27" s="35">
        <v>2.5399999999999999E-2</v>
      </c>
      <c r="M27" s="25"/>
      <c r="N27" s="25"/>
      <c r="O27" s="25"/>
      <c r="P27" s="25"/>
      <c r="Q27" s="25"/>
      <c r="R27" s="25"/>
    </row>
    <row r="28" spans="1:18">
      <c r="A28" s="25">
        <v>14</v>
      </c>
      <c r="B28" s="25"/>
      <c r="C28" s="25"/>
      <c r="D28" s="25"/>
      <c r="E28" s="25"/>
      <c r="F28" s="25"/>
      <c r="G28" s="25"/>
      <c r="H28" s="25"/>
      <c r="I28" s="25"/>
      <c r="J28" s="25"/>
      <c r="K28" s="25" t="s">
        <v>44</v>
      </c>
      <c r="L28" s="36">
        <v>3.2899999999999999E-2</v>
      </c>
      <c r="M28" s="25"/>
      <c r="N28" s="25"/>
      <c r="O28" s="25"/>
      <c r="P28" s="25"/>
      <c r="Q28" s="25"/>
      <c r="R28" s="25"/>
    </row>
    <row r="29" spans="1:18">
      <c r="A29" s="25">
        <v>15</v>
      </c>
      <c r="B29" s="25">
        <v>1.2</v>
      </c>
      <c r="C29" s="25">
        <v>0.8</v>
      </c>
      <c r="D29" s="25">
        <v>0.1</v>
      </c>
      <c r="E29" s="25"/>
      <c r="F29" s="25" t="s">
        <v>4</v>
      </c>
      <c r="G29" s="40">
        <v>1.5</v>
      </c>
      <c r="H29" s="40">
        <v>0.5</v>
      </c>
      <c r="I29" s="40">
        <v>0.1</v>
      </c>
      <c r="J29" s="25"/>
      <c r="K29" s="25" t="s">
        <v>43</v>
      </c>
      <c r="L29" s="35">
        <v>4.36E-2</v>
      </c>
      <c r="M29" s="25"/>
      <c r="N29" s="25"/>
      <c r="O29" s="25"/>
      <c r="P29" s="25"/>
      <c r="Q29" s="25"/>
      <c r="R29" s="25"/>
    </row>
    <row r="30" spans="1:18">
      <c r="A30" s="25">
        <v>16</v>
      </c>
      <c r="B30" s="25">
        <v>0</v>
      </c>
      <c r="C30" s="25">
        <v>0</v>
      </c>
      <c r="D30" s="25">
        <v>0</v>
      </c>
      <c r="E30" s="25">
        <v>0</v>
      </c>
      <c r="F30" s="25" t="s">
        <v>1</v>
      </c>
      <c r="G30" s="40">
        <v>0.75</v>
      </c>
      <c r="H30" s="40">
        <v>0.05</v>
      </c>
      <c r="I30" s="40">
        <v>0</v>
      </c>
      <c r="J30" s="40">
        <v>0</v>
      </c>
      <c r="K30" s="25" t="s">
        <v>43</v>
      </c>
      <c r="L30" s="35">
        <v>2.0400000000000001E-2</v>
      </c>
      <c r="M30" s="25"/>
      <c r="N30" s="25"/>
      <c r="O30" s="25"/>
      <c r="P30" s="25"/>
      <c r="Q30" s="25"/>
      <c r="R30" s="25"/>
    </row>
    <row r="33" spans="1:6">
      <c r="B33" t="s">
        <v>46</v>
      </c>
      <c r="C33" t="s">
        <v>47</v>
      </c>
      <c r="D33" t="s">
        <v>48</v>
      </c>
      <c r="E33" t="s">
        <v>49</v>
      </c>
      <c r="F33" t="s">
        <v>50</v>
      </c>
    </row>
    <row r="34" spans="1:6">
      <c r="A34">
        <v>1</v>
      </c>
      <c r="B34" t="s">
        <v>30</v>
      </c>
      <c r="C34" t="s">
        <v>30</v>
      </c>
      <c r="D34" t="s">
        <v>30</v>
      </c>
    </row>
    <row r="35" spans="1:6">
      <c r="A35">
        <v>2</v>
      </c>
      <c r="B35" t="s">
        <v>30</v>
      </c>
      <c r="C35" t="s">
        <v>30</v>
      </c>
      <c r="D35" t="s">
        <v>30</v>
      </c>
    </row>
    <row r="36" spans="1:6">
      <c r="A36">
        <v>3</v>
      </c>
      <c r="B36" t="s">
        <v>30</v>
      </c>
      <c r="C36" t="s">
        <v>30</v>
      </c>
      <c r="D36" t="s">
        <v>30</v>
      </c>
    </row>
    <row r="37" spans="1:6">
      <c r="A37">
        <v>4</v>
      </c>
      <c r="B37" t="s">
        <v>30</v>
      </c>
      <c r="C37" t="s">
        <v>30</v>
      </c>
      <c r="D37" t="s">
        <v>30</v>
      </c>
    </row>
    <row r="38" spans="1:6">
      <c r="A38">
        <v>5</v>
      </c>
      <c r="B38" t="s">
        <v>30</v>
      </c>
      <c r="C38" t="s">
        <v>30</v>
      </c>
      <c r="D38" t="s">
        <v>30</v>
      </c>
    </row>
    <row r="39" spans="1:6">
      <c r="A39">
        <v>6</v>
      </c>
      <c r="B39" t="s">
        <v>30</v>
      </c>
      <c r="C39" t="s">
        <v>30</v>
      </c>
      <c r="D39" t="s">
        <v>30</v>
      </c>
    </row>
    <row r="40" spans="1:6">
      <c r="A40">
        <v>7</v>
      </c>
      <c r="B40" t="s">
        <v>30</v>
      </c>
      <c r="C40" t="s">
        <v>30</v>
      </c>
      <c r="D40" t="s">
        <v>30</v>
      </c>
    </row>
    <row r="41" spans="1:6">
      <c r="A41">
        <v>8</v>
      </c>
      <c r="B41">
        <v>80</v>
      </c>
      <c r="C41" t="s">
        <v>51</v>
      </c>
      <c r="D41" s="25">
        <v>21.4</v>
      </c>
      <c r="E41" s="25" t="e">
        <f>8.38/C41</f>
        <v>#VALUE!</v>
      </c>
      <c r="F41" s="25"/>
    </row>
    <row r="42" spans="1:6">
      <c r="A42">
        <v>9</v>
      </c>
      <c r="B42">
        <v>85</v>
      </c>
      <c r="C42" t="s">
        <v>52</v>
      </c>
      <c r="D42" s="25">
        <v>19</v>
      </c>
      <c r="E42" s="25">
        <v>0</v>
      </c>
      <c r="F42" s="25"/>
    </row>
    <row r="43" spans="1:6">
      <c r="A43">
        <v>10</v>
      </c>
      <c r="B43">
        <v>85</v>
      </c>
      <c r="C43" t="s">
        <v>53</v>
      </c>
      <c r="D43" s="25">
        <v>18.5</v>
      </c>
      <c r="E43" s="25">
        <v>0</v>
      </c>
      <c r="F43" s="25"/>
    </row>
    <row r="44" spans="1:6">
      <c r="A44">
        <v>11</v>
      </c>
      <c r="B44">
        <v>85</v>
      </c>
      <c r="C44" t="s">
        <v>54</v>
      </c>
      <c r="D44" s="25">
        <v>23</v>
      </c>
      <c r="E44" s="25">
        <v>0</v>
      </c>
      <c r="F44" s="25"/>
    </row>
    <row r="45" spans="1:6">
      <c r="A45">
        <v>12</v>
      </c>
      <c r="B45">
        <v>108</v>
      </c>
      <c r="C45" t="s">
        <v>55</v>
      </c>
      <c r="D45" s="25">
        <v>22.4</v>
      </c>
      <c r="E45" s="25">
        <v>13.78</v>
      </c>
      <c r="F45" s="25"/>
    </row>
    <row r="46" spans="1:6">
      <c r="A46">
        <v>13</v>
      </c>
      <c r="B46">
        <v>108</v>
      </c>
      <c r="C46" t="s">
        <v>56</v>
      </c>
      <c r="D46" s="25">
        <v>23.1</v>
      </c>
      <c r="E46" s="25">
        <v>23.33</v>
      </c>
      <c r="F46" s="25"/>
    </row>
    <row r="47" spans="1:6">
      <c r="A47">
        <v>14</v>
      </c>
      <c r="B47">
        <v>110</v>
      </c>
      <c r="C47" t="s">
        <v>57</v>
      </c>
      <c r="D47" s="25" t="s">
        <v>30</v>
      </c>
      <c r="E47" s="25"/>
      <c r="F47" s="25"/>
    </row>
    <row r="48" spans="1:6">
      <c r="A48">
        <v>15</v>
      </c>
      <c r="B48">
        <v>110</v>
      </c>
      <c r="C48" t="s">
        <v>58</v>
      </c>
      <c r="D48" s="25">
        <v>21.3</v>
      </c>
      <c r="E48" s="25">
        <v>21.42</v>
      </c>
      <c r="F48" s="25"/>
    </row>
    <row r="49" spans="1:6">
      <c r="A49">
        <v>16</v>
      </c>
      <c r="B49">
        <v>108</v>
      </c>
      <c r="C49" t="s">
        <v>59</v>
      </c>
      <c r="D49" s="25">
        <v>23.2</v>
      </c>
      <c r="E49" s="25">
        <v>0</v>
      </c>
      <c r="F49" s="25"/>
    </row>
    <row r="50" spans="1:6">
      <c r="D50" s="25"/>
      <c r="E50" s="25"/>
      <c r="F50" s="25"/>
    </row>
    <row r="51" spans="1:6">
      <c r="D51" s="25"/>
      <c r="E51" s="25"/>
      <c r="F51" s="25"/>
    </row>
    <row r="52" spans="1:6">
      <c r="D52" s="25"/>
      <c r="E52" s="25"/>
      <c r="F52" s="25"/>
    </row>
    <row r="53" spans="1:6">
      <c r="C53" s="41"/>
    </row>
    <row r="54" spans="1:6">
      <c r="C54" s="41"/>
    </row>
    <row r="55" spans="1:6">
      <c r="C55" s="41"/>
    </row>
    <row r="56" spans="1:6">
      <c r="C56" s="41"/>
    </row>
    <row r="57" spans="1:6">
      <c r="C57" s="41"/>
    </row>
    <row r="58" spans="1:6">
      <c r="C58" s="41"/>
    </row>
    <row r="59" spans="1:6">
      <c r="C59" s="41"/>
    </row>
    <row r="60" spans="1:6">
      <c r="C60" s="41"/>
    </row>
    <row r="61" spans="1:6">
      <c r="C61" s="41"/>
    </row>
    <row r="62" spans="1:6">
      <c r="C62" s="41"/>
    </row>
    <row r="63" spans="1:6">
      <c r="C63" s="41"/>
    </row>
    <row r="64" spans="1:6">
      <c r="C64" s="41"/>
    </row>
    <row r="65" spans="3:3">
      <c r="C65" s="41"/>
    </row>
    <row r="66" spans="3:3">
      <c r="C66" s="41"/>
    </row>
    <row r="67" spans="3:3">
      <c r="C67" s="41"/>
    </row>
    <row r="68" spans="3:3">
      <c r="C68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sqref="A1:B5"/>
    </sheetView>
  </sheetViews>
  <sheetFormatPr defaultColWidth="11" defaultRowHeight="15.95"/>
  <sheetData>
    <row r="1" spans="1:2" ht="17.100000000000001" thickBot="1">
      <c r="A1" s="26">
        <v>3.9300000000000002E-2</v>
      </c>
      <c r="B1">
        <v>1.9</v>
      </c>
    </row>
    <row r="2" spans="1:2" ht="17.100000000000001" thickBot="1">
      <c r="A2" s="27">
        <v>2.5399999999999999E-2</v>
      </c>
      <c r="B2">
        <v>1.1000000000000001</v>
      </c>
    </row>
    <row r="3" spans="1:2" ht="17.100000000000001" thickBot="1">
      <c r="A3" s="27">
        <v>3.2899999999999999E-2</v>
      </c>
      <c r="B3">
        <v>0</v>
      </c>
    </row>
    <row r="4" spans="1:2" ht="17.100000000000001" thickBot="1">
      <c r="A4" s="27">
        <v>4.36E-2</v>
      </c>
      <c r="B4">
        <v>1.5</v>
      </c>
    </row>
    <row r="5" spans="1:2" ht="17.100000000000001" thickBot="1">
      <c r="A5" s="27">
        <v>2.0400000000000001E-2</v>
      </c>
      <c r="B5">
        <v>0.75</v>
      </c>
    </row>
    <row r="6" spans="1:2">
      <c r="A6" t="s">
        <v>60</v>
      </c>
      <c r="B6" t="s">
        <v>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zoomScale="125" workbookViewId="0">
      <selection activeCell="B15" sqref="B15"/>
    </sheetView>
  </sheetViews>
  <sheetFormatPr defaultColWidth="11" defaultRowHeight="15.95"/>
  <cols>
    <col min="1" max="1" width="11.625" customWidth="1"/>
  </cols>
  <sheetData>
    <row r="1" spans="1:9">
      <c r="A1" s="7" t="s">
        <v>18</v>
      </c>
      <c r="B1" s="2">
        <v>1</v>
      </c>
      <c r="C1" s="2">
        <v>2</v>
      </c>
      <c r="D1" s="2" t="s">
        <v>19</v>
      </c>
      <c r="E1" s="2" t="s">
        <v>20</v>
      </c>
      <c r="F1" s="2" t="s">
        <v>21</v>
      </c>
      <c r="G1" s="2">
        <v>6</v>
      </c>
      <c r="H1" s="2">
        <v>7</v>
      </c>
      <c r="I1" s="2" t="s">
        <v>62</v>
      </c>
    </row>
    <row r="2" spans="1:9">
      <c r="A2" s="1">
        <v>0</v>
      </c>
      <c r="D2" s="22">
        <v>0.31395694400000002</v>
      </c>
      <c r="E2" s="3">
        <v>0.3</v>
      </c>
      <c r="F2" s="3">
        <v>0.46</v>
      </c>
      <c r="G2" s="23">
        <v>2.9230542929999999</v>
      </c>
      <c r="H2" s="23">
        <v>1.21553972</v>
      </c>
      <c r="I2" s="4"/>
    </row>
    <row r="3" spans="1:9">
      <c r="A3" s="1">
        <v>5</v>
      </c>
      <c r="D3" s="22">
        <v>0.23289342099999999</v>
      </c>
      <c r="E3" s="3">
        <v>0.22</v>
      </c>
      <c r="F3" s="3">
        <v>0.34</v>
      </c>
      <c r="G3" s="23">
        <v>16.43578333</v>
      </c>
      <c r="H3" s="23">
        <v>18.567364999999999</v>
      </c>
      <c r="I3" s="4"/>
    </row>
    <row r="4" spans="1:9">
      <c r="A4" s="1">
        <v>10</v>
      </c>
      <c r="D4" s="22">
        <v>0.21215711800000001</v>
      </c>
      <c r="E4" s="3">
        <v>0.08</v>
      </c>
      <c r="F4" s="3">
        <v>0.13</v>
      </c>
      <c r="G4" s="23">
        <v>28.914103399999998</v>
      </c>
      <c r="H4" s="23">
        <v>47.439531100000004</v>
      </c>
      <c r="I4" s="4"/>
    </row>
    <row r="5" spans="1:9">
      <c r="A5" s="1">
        <v>15</v>
      </c>
      <c r="D5" s="22">
        <v>0.20831416699999999</v>
      </c>
      <c r="E5" s="3">
        <v>0.04</v>
      </c>
      <c r="F5" s="3">
        <v>1.71</v>
      </c>
      <c r="G5" s="23">
        <v>39.200051590000001</v>
      </c>
      <c r="H5" s="23">
        <v>49.431887889999999</v>
      </c>
      <c r="I5" s="4"/>
    </row>
    <row r="6" spans="1:9">
      <c r="A6" s="1" t="s">
        <v>31</v>
      </c>
      <c r="D6" s="22"/>
      <c r="E6" s="3"/>
      <c r="F6" s="3"/>
      <c r="G6" s="23"/>
      <c r="H6" s="23"/>
      <c r="I6" s="4"/>
    </row>
    <row r="7" spans="1:9">
      <c r="A7" s="1">
        <v>0</v>
      </c>
      <c r="D7" s="22">
        <v>0.72704761900000003</v>
      </c>
      <c r="E7" s="3">
        <v>1.52</v>
      </c>
      <c r="F7" s="3">
        <v>1.05</v>
      </c>
      <c r="G7" s="23">
        <v>2.677139167</v>
      </c>
      <c r="H7" s="23">
        <v>68.464517540000003</v>
      </c>
      <c r="I7" s="4"/>
    </row>
    <row r="8" spans="1:9">
      <c r="A8" s="1">
        <v>5</v>
      </c>
      <c r="D8" s="22">
        <v>0.71750578700000001</v>
      </c>
      <c r="E8" s="3">
        <v>1.61</v>
      </c>
      <c r="F8" s="3">
        <v>1.03</v>
      </c>
      <c r="G8" s="23">
        <v>16.631889170000001</v>
      </c>
      <c r="H8" s="23">
        <v>57.570828280000001</v>
      </c>
      <c r="I8" s="4"/>
    </row>
    <row r="9" spans="1:9">
      <c r="A9" s="1">
        <v>10</v>
      </c>
      <c r="D9" s="22">
        <v>0.71887500000000004</v>
      </c>
      <c r="E9" s="3">
        <v>1.63</v>
      </c>
      <c r="F9" s="3">
        <v>1.92</v>
      </c>
      <c r="G9" s="23">
        <v>28.580627450000001</v>
      </c>
      <c r="H9" s="23">
        <v>42.501531669999999</v>
      </c>
      <c r="I9" s="4"/>
    </row>
    <row r="10" spans="1:9">
      <c r="A10" s="1">
        <v>15</v>
      </c>
      <c r="D10" s="22">
        <v>0.72500980400000004</v>
      </c>
      <c r="E10" s="3">
        <v>1.62</v>
      </c>
      <c r="F10" s="3">
        <v>2.2999999999999998</v>
      </c>
      <c r="G10" s="23">
        <v>41.815943449999999</v>
      </c>
      <c r="H10" s="23">
        <v>24.209506820000001</v>
      </c>
      <c r="I10" s="3" t="s">
        <v>34</v>
      </c>
    </row>
    <row r="11" spans="1:9">
      <c r="G11" s="24" t="s">
        <v>35</v>
      </c>
      <c r="H11" s="24" t="s">
        <v>36</v>
      </c>
    </row>
    <row r="14" spans="1:9">
      <c r="B14">
        <v>0</v>
      </c>
      <c r="C14">
        <v>5</v>
      </c>
      <c r="D14">
        <v>10</v>
      </c>
      <c r="E14">
        <v>15</v>
      </c>
    </row>
    <row r="15" spans="1:9">
      <c r="A15" t="s">
        <v>63</v>
      </c>
      <c r="B15">
        <f>(D2+E2+F2)/3</f>
        <v>0.35798564800000005</v>
      </c>
      <c r="C15">
        <f>(D3+E3+F3)/3</f>
        <v>0.264297807</v>
      </c>
      <c r="D15">
        <f>(D4+E4+F4)/3</f>
        <v>0.14071903933333332</v>
      </c>
      <c r="E15">
        <f>(D5+E5+F5)/3</f>
        <v>0.65277138899999998</v>
      </c>
    </row>
    <row r="16" spans="1:9">
      <c r="A16" t="s">
        <v>64</v>
      </c>
      <c r="B16">
        <f>(D7+E7+F7)/3</f>
        <v>1.0990158729999999</v>
      </c>
      <c r="C16">
        <f>(D8+E8+F8)/3</f>
        <v>1.1191685956666666</v>
      </c>
      <c r="D16">
        <f>(D9+E9+F9)/3</f>
        <v>1.4229583333333331</v>
      </c>
      <c r="E16">
        <f>(D10+E10+F10)/3</f>
        <v>1.5483366013333333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37"/>
  <sheetViews>
    <sheetView zoomScale="75" zoomScaleNormal="118" workbookViewId="0">
      <selection activeCell="I15" sqref="I15"/>
    </sheetView>
  </sheetViews>
  <sheetFormatPr defaultColWidth="11" defaultRowHeight="15.95"/>
  <cols>
    <col min="11" max="11" width="21.125" customWidth="1"/>
  </cols>
  <sheetData>
    <row r="1" spans="1:43">
      <c r="A1" s="1" t="s">
        <v>18</v>
      </c>
      <c r="B1" s="2" t="s">
        <v>65</v>
      </c>
      <c r="C1" s="2" t="s">
        <v>66</v>
      </c>
      <c r="D1" s="2" t="s">
        <v>19</v>
      </c>
      <c r="E1" s="2">
        <v>4</v>
      </c>
      <c r="F1" s="2" t="s">
        <v>67</v>
      </c>
      <c r="G1" s="2" t="s">
        <v>68</v>
      </c>
      <c r="H1" s="2">
        <v>7</v>
      </c>
      <c r="I1" s="2" t="s">
        <v>22</v>
      </c>
      <c r="J1" s="2" t="s">
        <v>69</v>
      </c>
      <c r="K1" s="2" t="s">
        <v>29</v>
      </c>
      <c r="P1" s="10" t="s">
        <v>70</v>
      </c>
      <c r="Q1" s="10"/>
      <c r="R1" s="10"/>
      <c r="S1" s="10"/>
    </row>
    <row r="2" spans="1:43" ht="17.100000000000001" thickBot="1">
      <c r="A2" s="1">
        <v>0</v>
      </c>
      <c r="B2" s="3">
        <v>0</v>
      </c>
      <c r="C2" s="3">
        <v>0</v>
      </c>
      <c r="D2" s="3">
        <v>0</v>
      </c>
      <c r="E2" s="8">
        <v>0</v>
      </c>
      <c r="F2" s="3">
        <v>1.1499999999999999</v>
      </c>
      <c r="G2" s="3">
        <v>1.1000000000000001</v>
      </c>
      <c r="H2" s="8" t="s">
        <v>30</v>
      </c>
      <c r="I2" s="3">
        <v>1.2</v>
      </c>
      <c r="J2" s="3">
        <v>0</v>
      </c>
      <c r="K2" s="4"/>
      <c r="P2" s="10">
        <v>0</v>
      </c>
      <c r="Q2" s="10">
        <v>5</v>
      </c>
      <c r="R2" s="10">
        <v>10</v>
      </c>
      <c r="S2" s="10">
        <v>15</v>
      </c>
      <c r="U2" s="13">
        <v>0</v>
      </c>
      <c r="V2" s="13">
        <v>5</v>
      </c>
      <c r="W2" s="13">
        <v>10</v>
      </c>
      <c r="X2" s="13">
        <v>15</v>
      </c>
    </row>
    <row r="3" spans="1:43" ht="17.100000000000001" thickBot="1">
      <c r="A3" s="1">
        <v>5</v>
      </c>
      <c r="B3" s="3">
        <v>1.8</v>
      </c>
      <c r="C3" s="3">
        <v>0</v>
      </c>
      <c r="D3" s="3">
        <v>0</v>
      </c>
      <c r="E3" s="8">
        <v>0</v>
      </c>
      <c r="F3" s="3">
        <v>0.05</v>
      </c>
      <c r="G3" s="3">
        <v>0.6</v>
      </c>
      <c r="H3" s="8" t="s">
        <v>30</v>
      </c>
      <c r="I3" s="3">
        <v>0.8</v>
      </c>
      <c r="J3" s="3">
        <v>0</v>
      </c>
      <c r="K3" s="4"/>
      <c r="P3" s="10">
        <v>1.1499999999999999</v>
      </c>
      <c r="Q3" s="10">
        <v>0.05</v>
      </c>
      <c r="R3" s="10">
        <v>0</v>
      </c>
      <c r="S3" s="10">
        <v>0</v>
      </c>
      <c r="U3" s="13">
        <f>(P3+P4+P5+R20+R21+R22)/7</f>
        <v>0.6457142857142858</v>
      </c>
      <c r="V3" s="13">
        <f>(Q3+Q4+Q5+S19+S20+S21+S22)/7</f>
        <v>0.57714285714285718</v>
      </c>
      <c r="W3" s="13">
        <f>(R3+R4+R5+T19+T20+T21+T22)/7</f>
        <v>0.71</v>
      </c>
      <c r="X3" s="13">
        <f>(S3+S4+U19+U20+U21+U22)/6</f>
        <v>1.7266666666666666</v>
      </c>
      <c r="AN3" s="14">
        <v>0</v>
      </c>
      <c r="AO3" s="15">
        <v>15</v>
      </c>
      <c r="AP3" s="15">
        <v>20</v>
      </c>
      <c r="AQ3" s="15">
        <v>30</v>
      </c>
    </row>
    <row r="4" spans="1:43" ht="17.100000000000001" thickBot="1">
      <c r="A4" s="1">
        <v>10</v>
      </c>
      <c r="B4" s="3">
        <v>4.2</v>
      </c>
      <c r="C4" s="3">
        <v>0</v>
      </c>
      <c r="D4" s="3">
        <v>0</v>
      </c>
      <c r="E4" s="8">
        <v>0</v>
      </c>
      <c r="F4" s="3">
        <v>0</v>
      </c>
      <c r="G4" s="3">
        <v>0.25</v>
      </c>
      <c r="H4" s="8" t="s">
        <v>30</v>
      </c>
      <c r="I4" s="3">
        <v>0.1</v>
      </c>
      <c r="J4" s="3">
        <v>0</v>
      </c>
      <c r="K4" s="4"/>
      <c r="P4" s="10">
        <v>1.1000000000000001</v>
      </c>
      <c r="Q4" s="10">
        <v>0.6</v>
      </c>
      <c r="R4" s="10">
        <v>0.25</v>
      </c>
      <c r="S4" s="10">
        <v>0</v>
      </c>
      <c r="U4" s="13" t="s">
        <v>71</v>
      </c>
      <c r="V4" s="13"/>
      <c r="W4" s="13"/>
      <c r="X4" s="13"/>
      <c r="AN4" s="16">
        <v>0</v>
      </c>
      <c r="AO4" s="17">
        <v>0</v>
      </c>
      <c r="AP4" s="17">
        <v>0.1</v>
      </c>
      <c r="AQ4" s="17">
        <v>0.55000000000000004</v>
      </c>
    </row>
    <row r="5" spans="1:43">
      <c r="A5" s="1">
        <v>15</v>
      </c>
      <c r="B5" s="3">
        <v>8.4</v>
      </c>
      <c r="C5" s="3">
        <v>0</v>
      </c>
      <c r="D5" s="3">
        <v>0</v>
      </c>
      <c r="E5" s="8">
        <v>0</v>
      </c>
      <c r="F5" s="3">
        <v>0</v>
      </c>
      <c r="G5" s="3">
        <v>0</v>
      </c>
      <c r="H5" s="8" t="s">
        <v>30</v>
      </c>
      <c r="I5" s="3" t="s">
        <v>30</v>
      </c>
      <c r="J5" s="3">
        <v>0</v>
      </c>
      <c r="K5" s="4"/>
      <c r="P5" s="10">
        <v>1.2</v>
      </c>
      <c r="Q5" s="10">
        <v>0.8</v>
      </c>
      <c r="R5" s="10">
        <v>0.1</v>
      </c>
      <c r="S5" s="10" t="s">
        <v>30</v>
      </c>
    </row>
    <row r="6" spans="1:43">
      <c r="A6" s="1" t="s">
        <v>31</v>
      </c>
      <c r="B6" s="3"/>
      <c r="C6" s="3"/>
      <c r="D6" s="3"/>
      <c r="E6" s="8" t="s">
        <v>32</v>
      </c>
      <c r="F6" s="3"/>
      <c r="G6" s="3"/>
      <c r="H6" s="8"/>
      <c r="I6" s="3"/>
      <c r="J6" s="3"/>
      <c r="K6" s="4"/>
      <c r="P6" s="10"/>
      <c r="Q6" s="10"/>
      <c r="R6" s="10"/>
      <c r="S6" s="10"/>
      <c r="U6" s="13"/>
    </row>
    <row r="7" spans="1:43">
      <c r="A7" s="1">
        <v>0</v>
      </c>
      <c r="B7" s="3">
        <v>1.5</v>
      </c>
      <c r="C7" s="3">
        <v>0</v>
      </c>
      <c r="D7" s="3">
        <v>0.6</v>
      </c>
      <c r="E7" s="8">
        <v>0</v>
      </c>
      <c r="F7" s="3">
        <v>1.9</v>
      </c>
      <c r="G7" s="3">
        <v>0</v>
      </c>
      <c r="H7" s="8" t="s">
        <v>30</v>
      </c>
      <c r="I7" s="3">
        <v>1.5</v>
      </c>
      <c r="J7" s="3">
        <v>0.75</v>
      </c>
      <c r="K7" s="4"/>
      <c r="P7" s="10"/>
      <c r="Q7" s="10"/>
      <c r="R7" s="10"/>
      <c r="S7" s="10"/>
    </row>
    <row r="8" spans="1:43">
      <c r="A8" s="1">
        <v>5</v>
      </c>
      <c r="B8" s="3">
        <v>4.7</v>
      </c>
      <c r="C8" s="3">
        <v>0</v>
      </c>
      <c r="D8" s="3">
        <v>4.8</v>
      </c>
      <c r="E8" s="8">
        <v>4.4000000000000004</v>
      </c>
      <c r="F8" s="3">
        <v>1</v>
      </c>
      <c r="G8" s="3">
        <v>0.01</v>
      </c>
      <c r="H8" s="8" t="s">
        <v>30</v>
      </c>
      <c r="I8" s="3">
        <v>0.5</v>
      </c>
      <c r="J8" s="3">
        <v>0.05</v>
      </c>
      <c r="K8" s="4"/>
    </row>
    <row r="9" spans="1:43">
      <c r="A9" s="1">
        <v>10</v>
      </c>
      <c r="B9" s="3">
        <v>6.9</v>
      </c>
      <c r="C9" s="3">
        <v>0</v>
      </c>
      <c r="D9" s="3">
        <v>8.6</v>
      </c>
      <c r="E9" s="8">
        <v>7.9</v>
      </c>
      <c r="F9" s="3">
        <v>0.6</v>
      </c>
      <c r="G9" s="3">
        <v>0.1</v>
      </c>
      <c r="H9" s="8" t="s">
        <v>30</v>
      </c>
      <c r="I9" s="3">
        <v>0.1</v>
      </c>
      <c r="J9" s="3">
        <v>0</v>
      </c>
      <c r="K9" s="4"/>
    </row>
    <row r="10" spans="1:43">
      <c r="A10" s="1">
        <v>15</v>
      </c>
      <c r="B10" s="3">
        <v>7.8</v>
      </c>
      <c r="C10" s="3">
        <v>0</v>
      </c>
      <c r="D10" s="3">
        <v>10.4</v>
      </c>
      <c r="E10" s="8">
        <v>10.25</v>
      </c>
      <c r="F10" s="3">
        <v>0.4</v>
      </c>
      <c r="G10" s="3">
        <v>0</v>
      </c>
      <c r="H10" s="8" t="s">
        <v>30</v>
      </c>
      <c r="I10" s="3" t="s">
        <v>30</v>
      </c>
      <c r="J10" s="3">
        <v>0</v>
      </c>
      <c r="K10" s="3" t="s">
        <v>34</v>
      </c>
      <c r="M10" s="11">
        <v>0</v>
      </c>
      <c r="N10" s="11">
        <v>5</v>
      </c>
      <c r="O10" s="11">
        <v>10</v>
      </c>
      <c r="P10" s="11">
        <v>15</v>
      </c>
      <c r="Q10" s="11" t="s">
        <v>72</v>
      </c>
    </row>
    <row r="11" spans="1:43">
      <c r="F11" s="5">
        <v>3.9300000000000002E-2</v>
      </c>
      <c r="G11" s="5">
        <v>2.5399999999999999E-2</v>
      </c>
      <c r="H11" s="6">
        <v>3.2899999999999999E-2</v>
      </c>
      <c r="I11" s="5">
        <v>4.36E-2</v>
      </c>
      <c r="J11" s="5">
        <v>2.0400000000000001E-2</v>
      </c>
      <c r="K11" s="6" t="s">
        <v>39</v>
      </c>
      <c r="M11" s="11">
        <v>0.73</v>
      </c>
      <c r="N11" s="11">
        <v>0.72</v>
      </c>
      <c r="O11" s="11">
        <v>0.72</v>
      </c>
      <c r="P11" s="11">
        <v>0.73</v>
      </c>
      <c r="U11" s="13">
        <v>0</v>
      </c>
      <c r="V11" s="13">
        <v>5</v>
      </c>
      <c r="W11" s="13">
        <v>10</v>
      </c>
      <c r="X11" s="13">
        <v>15</v>
      </c>
    </row>
    <row r="12" spans="1:43">
      <c r="M12" s="11">
        <v>1.05</v>
      </c>
      <c r="N12" s="11">
        <v>1.03</v>
      </c>
      <c r="O12" s="11">
        <v>1.92</v>
      </c>
      <c r="P12" s="11">
        <v>2.2999999999999998</v>
      </c>
      <c r="U12" s="13">
        <f>(P3+P4+P5+R20+R21+R22)/6</f>
        <v>0.75333333333333341</v>
      </c>
      <c r="V12" s="13">
        <f>(Q3+Q4+Q5+S20+S22+S21)/6</f>
        <v>0.37333333333333335</v>
      </c>
      <c r="W12" s="13">
        <f>(R3+R4+R5+T20+T21+T22)/6</f>
        <v>0.12833333333333333</v>
      </c>
      <c r="X12" s="13">
        <f>(U20+U21+U22)/5</f>
        <v>0.39200000000000002</v>
      </c>
    </row>
    <row r="13" spans="1:43">
      <c r="M13" s="11">
        <v>1.52</v>
      </c>
      <c r="N13" s="11">
        <v>1.61</v>
      </c>
      <c r="O13" s="11">
        <v>1.63</v>
      </c>
      <c r="P13" s="11">
        <v>1.62</v>
      </c>
    </row>
    <row r="14" spans="1:43">
      <c r="M14" s="11"/>
      <c r="N14" s="11"/>
      <c r="O14" s="11"/>
      <c r="P14" s="11"/>
    </row>
    <row r="15" spans="1:43">
      <c r="B15">
        <v>0</v>
      </c>
      <c r="C15">
        <v>5</v>
      </c>
      <c r="D15">
        <v>10</v>
      </c>
      <c r="E15">
        <v>15</v>
      </c>
      <c r="M15" s="11">
        <v>0</v>
      </c>
      <c r="N15" s="11">
        <v>0</v>
      </c>
      <c r="O15" s="11">
        <v>0</v>
      </c>
      <c r="P15" s="11">
        <v>0</v>
      </c>
    </row>
    <row r="16" spans="1:43">
      <c r="A16" t="s">
        <v>63</v>
      </c>
      <c r="B16">
        <v>0.49286000000000002</v>
      </c>
      <c r="C16">
        <f>(B3+C3+D3+F3+G3+I3+J3)/7</f>
        <v>0.4642857142857143</v>
      </c>
      <c r="D16">
        <f>(B4+C4+G4+I4)/7</f>
        <v>0.65</v>
      </c>
      <c r="E16">
        <f>(B5+C5)/6</f>
        <v>1.4000000000000001</v>
      </c>
      <c r="M16" s="11">
        <v>1.5</v>
      </c>
      <c r="N16" s="11">
        <v>4.7</v>
      </c>
      <c r="O16" s="11">
        <v>6.9</v>
      </c>
      <c r="P16" s="11">
        <v>7.8</v>
      </c>
    </row>
    <row r="17" spans="1:22">
      <c r="A17" t="s">
        <v>64</v>
      </c>
      <c r="B17">
        <f>(B7+D7+F7+I7+J7)/7</f>
        <v>0.8928571428571429</v>
      </c>
      <c r="C17">
        <f>(B8+D8+F8+G8+I8+J8)/7</f>
        <v>1.58</v>
      </c>
      <c r="D17">
        <f>(B9+D9+F9+G9+I9)/7</f>
        <v>2.3285714285714292</v>
      </c>
      <c r="E17">
        <f>(B10+D10+F10)/6</f>
        <v>3.0999999999999996</v>
      </c>
      <c r="M17" s="11">
        <v>0.6</v>
      </c>
      <c r="N17" s="11">
        <v>4.8</v>
      </c>
      <c r="O17" s="11">
        <v>8.6</v>
      </c>
      <c r="P17" s="11">
        <v>10.4</v>
      </c>
    </row>
    <row r="18" spans="1:22">
      <c r="M18" s="11">
        <v>1.9</v>
      </c>
      <c r="N18" s="11">
        <v>1</v>
      </c>
      <c r="O18" s="11">
        <v>0.6</v>
      </c>
      <c r="P18" s="11">
        <v>0.4</v>
      </c>
      <c r="R18" s="9">
        <v>0</v>
      </c>
      <c r="S18" s="9">
        <v>5</v>
      </c>
      <c r="T18" s="9">
        <v>10</v>
      </c>
      <c r="U18" s="9">
        <v>15</v>
      </c>
      <c r="V18" s="9" t="s">
        <v>73</v>
      </c>
    </row>
    <row r="19" spans="1:22">
      <c r="M19" s="11">
        <v>0</v>
      </c>
      <c r="N19" s="11">
        <v>0.01</v>
      </c>
      <c r="O19" s="11">
        <v>0.1</v>
      </c>
      <c r="P19" s="11">
        <v>0</v>
      </c>
      <c r="R19" s="9">
        <v>0</v>
      </c>
      <c r="S19" s="9">
        <v>1.8</v>
      </c>
      <c r="T19" s="9">
        <v>4.2</v>
      </c>
      <c r="U19" s="9">
        <v>8.4</v>
      </c>
      <c r="V19" s="9" t="s">
        <v>74</v>
      </c>
    </row>
    <row r="20" spans="1:22">
      <c r="M20" s="11">
        <v>1.5</v>
      </c>
      <c r="N20" s="11">
        <v>0.5</v>
      </c>
      <c r="O20" s="11">
        <v>0.1</v>
      </c>
      <c r="P20" s="11" t="s">
        <v>30</v>
      </c>
      <c r="R20" s="9">
        <v>0.31</v>
      </c>
      <c r="S20" s="9">
        <v>0.23</v>
      </c>
      <c r="T20" s="9">
        <v>0.21</v>
      </c>
      <c r="U20" s="9">
        <v>0.21</v>
      </c>
      <c r="V20" s="9" t="s">
        <v>75</v>
      </c>
    </row>
    <row r="21" spans="1:22">
      <c r="M21" s="11">
        <v>0.75</v>
      </c>
      <c r="N21" s="11">
        <v>0.05</v>
      </c>
      <c r="O21" s="11">
        <v>0</v>
      </c>
      <c r="P21" s="11">
        <v>0</v>
      </c>
      <c r="R21" s="9">
        <v>0.46</v>
      </c>
      <c r="S21" s="9">
        <v>0.34</v>
      </c>
      <c r="T21" s="9">
        <v>0.13</v>
      </c>
      <c r="U21" s="9">
        <v>1.71</v>
      </c>
      <c r="V21" s="9" t="s">
        <v>76</v>
      </c>
    </row>
    <row r="22" spans="1:22">
      <c r="M22" s="12">
        <f>(M11+M12+M13+M16+M17+M18+M19+M20+M21)/9</f>
        <v>1.0611111111111109</v>
      </c>
      <c r="N22" s="12">
        <f>(N11+N12+N13+N16+N17+N18+N19+N20+N21)/9</f>
        <v>1.6022222222222222</v>
      </c>
      <c r="O22" s="12">
        <f>(O11+O12+O13+O16+O17+O18+O19+O20+O21)/9</f>
        <v>2.2855555555555558</v>
      </c>
      <c r="P22" s="12">
        <f>(P11+P12+P13+P17+P16+P18+P19+P21)/8</f>
        <v>2.90625</v>
      </c>
      <c r="Q22" s="12" t="s">
        <v>77</v>
      </c>
      <c r="R22" s="9">
        <v>0.3</v>
      </c>
      <c r="S22" s="9">
        <v>0.22</v>
      </c>
      <c r="T22" s="9">
        <v>0.08</v>
      </c>
      <c r="U22" s="9">
        <v>0.04</v>
      </c>
      <c r="V22" t="s">
        <v>78</v>
      </c>
    </row>
    <row r="34" spans="16:20">
      <c r="P34" t="s">
        <v>79</v>
      </c>
    </row>
    <row r="35" spans="16:20">
      <c r="Q35">
        <v>0</v>
      </c>
      <c r="R35">
        <v>5</v>
      </c>
      <c r="S35">
        <v>10</v>
      </c>
      <c r="T35">
        <v>15</v>
      </c>
    </row>
    <row r="36" spans="16:20">
      <c r="P36" t="s">
        <v>63</v>
      </c>
      <c r="Q36">
        <f>(B16+0.358)/2</f>
        <v>0.42542999999999997</v>
      </c>
      <c r="R36">
        <f>(C16+0.264)/2</f>
        <v>0.36414285714285716</v>
      </c>
      <c r="S36">
        <f>(D16+0.14)/2</f>
        <v>0.39500000000000002</v>
      </c>
      <c r="T36">
        <f>(E16+0.652)/2</f>
        <v>1.026</v>
      </c>
    </row>
    <row r="37" spans="16:20">
      <c r="P37" t="s">
        <v>64</v>
      </c>
      <c r="Q37">
        <f>(B17+1.09)/2</f>
        <v>0.99142857142857155</v>
      </c>
      <c r="R37">
        <f>(C17+1.119)/2</f>
        <v>1.3494999999999999</v>
      </c>
      <c r="S37">
        <f>(D17+1.42)/2</f>
        <v>1.8742857142857146</v>
      </c>
      <c r="T37">
        <f>(E17+1.548)/2</f>
        <v>2.3239999999999998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topLeftCell="J1" zoomScale="109" workbookViewId="0">
      <selection activeCell="G18" sqref="G18"/>
    </sheetView>
  </sheetViews>
  <sheetFormatPr defaultColWidth="11" defaultRowHeight="15.95"/>
  <sheetData>
    <row r="1" spans="1:9">
      <c r="A1" s="1" t="s">
        <v>18</v>
      </c>
      <c r="B1" s="18">
        <v>4</v>
      </c>
      <c r="C1" s="18">
        <v>3</v>
      </c>
      <c r="D1" s="2">
        <v>8</v>
      </c>
      <c r="E1" s="2">
        <v>9</v>
      </c>
      <c r="F1" s="2">
        <v>10</v>
      </c>
      <c r="G1" s="2">
        <v>12</v>
      </c>
      <c r="H1" s="2">
        <v>15</v>
      </c>
    </row>
    <row r="2" spans="1:9">
      <c r="A2" s="1">
        <v>0</v>
      </c>
      <c r="B2" s="22">
        <v>0.3</v>
      </c>
      <c r="C2" s="22">
        <v>0.31395694400000002</v>
      </c>
      <c r="D2" s="22">
        <v>0.03</v>
      </c>
      <c r="E2" s="3">
        <v>0</v>
      </c>
      <c r="F2" s="22">
        <v>0</v>
      </c>
      <c r="G2" s="22">
        <v>1.1299999999999999</v>
      </c>
      <c r="H2" s="22">
        <v>1.2</v>
      </c>
    </row>
    <row r="3" spans="1:9">
      <c r="A3" s="1">
        <v>5</v>
      </c>
      <c r="B3" s="22">
        <v>0.22</v>
      </c>
      <c r="C3" s="22">
        <v>0.23289342099999999</v>
      </c>
      <c r="D3" s="22">
        <v>1.63</v>
      </c>
      <c r="E3" s="3">
        <v>0</v>
      </c>
      <c r="F3" s="22">
        <v>0</v>
      </c>
      <c r="G3" s="22">
        <v>0.04</v>
      </c>
      <c r="H3" s="22">
        <v>0.81</v>
      </c>
    </row>
    <row r="4" spans="1:9">
      <c r="A4" s="1">
        <v>10</v>
      </c>
      <c r="B4" s="22">
        <v>0.08</v>
      </c>
      <c r="C4" s="22">
        <v>0.21215711800000001</v>
      </c>
      <c r="D4" s="22">
        <v>4.16</v>
      </c>
      <c r="E4" s="3">
        <v>0</v>
      </c>
      <c r="F4" s="22">
        <v>0</v>
      </c>
      <c r="G4" s="22">
        <v>0</v>
      </c>
      <c r="H4" s="22">
        <v>0.08</v>
      </c>
    </row>
    <row r="5" spans="1:9">
      <c r="A5" s="1">
        <v>15</v>
      </c>
      <c r="B5" s="22">
        <v>0.04</v>
      </c>
      <c r="C5" s="22">
        <v>0.20831416699999999</v>
      </c>
      <c r="D5" s="22">
        <v>8.3800000000000008</v>
      </c>
      <c r="E5" s="3">
        <v>0</v>
      </c>
      <c r="F5" s="22">
        <v>0</v>
      </c>
      <c r="G5" s="22">
        <v>0</v>
      </c>
      <c r="H5" s="22" t="s">
        <v>30</v>
      </c>
    </row>
    <row r="6" spans="1:9">
      <c r="A6" s="1" t="s">
        <v>31</v>
      </c>
      <c r="B6" s="22"/>
      <c r="C6" s="22"/>
      <c r="D6" s="22"/>
      <c r="E6" s="3"/>
      <c r="F6" s="22"/>
      <c r="G6" s="22"/>
      <c r="H6" s="22"/>
    </row>
    <row r="7" spans="1:9">
      <c r="A7" s="1">
        <v>0</v>
      </c>
      <c r="B7" s="22">
        <v>1.52</v>
      </c>
      <c r="C7" s="22">
        <v>0.72704761900000003</v>
      </c>
      <c r="D7" s="22">
        <v>1.43</v>
      </c>
      <c r="E7" s="3">
        <v>0</v>
      </c>
      <c r="F7" s="22">
        <v>0.62</v>
      </c>
      <c r="G7" s="22">
        <v>0.98</v>
      </c>
      <c r="H7" s="22">
        <v>1.48</v>
      </c>
    </row>
    <row r="8" spans="1:9">
      <c r="A8" s="1">
        <v>5</v>
      </c>
      <c r="B8" s="22">
        <v>1.61</v>
      </c>
      <c r="C8" s="22">
        <v>0.71750578700000001</v>
      </c>
      <c r="D8" s="22">
        <v>4.7</v>
      </c>
      <c r="E8" s="3">
        <v>0</v>
      </c>
      <c r="F8" s="22">
        <v>4.82</v>
      </c>
      <c r="G8" s="22">
        <v>0.6</v>
      </c>
      <c r="H8" s="22">
        <v>0.47</v>
      </c>
    </row>
    <row r="9" spans="1:9">
      <c r="A9" s="1">
        <v>10</v>
      </c>
      <c r="B9" s="22">
        <v>1.63</v>
      </c>
      <c r="C9" s="22">
        <v>0.71887500000000004</v>
      </c>
      <c r="D9" s="22">
        <v>6.75</v>
      </c>
      <c r="E9" s="3">
        <v>0</v>
      </c>
      <c r="F9" s="22">
        <v>8.64</v>
      </c>
      <c r="G9" s="22">
        <v>0.45</v>
      </c>
      <c r="H9" s="22">
        <v>0.1</v>
      </c>
    </row>
    <row r="10" spans="1:9">
      <c r="A10" s="1">
        <v>15</v>
      </c>
      <c r="B10" s="22">
        <v>1.62</v>
      </c>
      <c r="C10" s="22">
        <v>0.72500980400000004</v>
      </c>
      <c r="D10" s="22">
        <v>7.68</v>
      </c>
      <c r="E10" s="3">
        <v>0</v>
      </c>
      <c r="F10" s="22">
        <v>10.31</v>
      </c>
      <c r="G10" s="22">
        <v>0.33</v>
      </c>
      <c r="H10" s="22" t="s">
        <v>30</v>
      </c>
    </row>
    <row r="13" spans="1:9">
      <c r="A13" t="s">
        <v>80</v>
      </c>
      <c r="I13" t="s">
        <v>81</v>
      </c>
    </row>
    <row r="14" spans="1:9">
      <c r="A14" s="19">
        <v>0</v>
      </c>
      <c r="B14">
        <f>(B7-B2)</f>
        <v>1.22</v>
      </c>
      <c r="C14" s="25">
        <f t="shared" ref="C14:D16" si="0">C7-C2</f>
        <v>0.41309067500000002</v>
      </c>
      <c r="D14" s="25">
        <f t="shared" si="0"/>
        <v>1.4</v>
      </c>
      <c r="E14">
        <v>0</v>
      </c>
      <c r="F14" s="25">
        <f>F7-F2</f>
        <v>0.62</v>
      </c>
      <c r="G14">
        <f>G7-G2</f>
        <v>-0.14999999999999991</v>
      </c>
      <c r="H14">
        <f>H7-H2</f>
        <v>0.28000000000000003</v>
      </c>
      <c r="I14">
        <f>(B14+D14+E14+F14+G14+H14+C14)/7</f>
        <v>0.54044152499999998</v>
      </c>
    </row>
    <row r="15" spans="1:9">
      <c r="A15" s="19">
        <v>5</v>
      </c>
      <c r="B15">
        <f>(B8-B3)</f>
        <v>1.3900000000000001</v>
      </c>
      <c r="C15" s="25">
        <f t="shared" si="0"/>
        <v>0.48461236600000002</v>
      </c>
      <c r="D15">
        <f t="shared" si="0"/>
        <v>3.0700000000000003</v>
      </c>
      <c r="E15">
        <v>0</v>
      </c>
      <c r="F15" s="25">
        <f t="shared" ref="F15:G17" si="1">F8-F3</f>
        <v>4.82</v>
      </c>
      <c r="G15">
        <f t="shared" si="1"/>
        <v>0.55999999999999994</v>
      </c>
      <c r="H15" t="s">
        <v>30</v>
      </c>
      <c r="I15">
        <f>(B15+D15+E15+F15+G15+C15)/6</f>
        <v>1.720768727666667</v>
      </c>
    </row>
    <row r="16" spans="1:9">
      <c r="A16" s="19">
        <v>10</v>
      </c>
      <c r="B16">
        <f>B9-B4</f>
        <v>1.5499999999999998</v>
      </c>
      <c r="C16" s="25">
        <f t="shared" si="0"/>
        <v>0.50671788200000001</v>
      </c>
      <c r="D16">
        <f t="shared" si="0"/>
        <v>2.59</v>
      </c>
      <c r="E16">
        <v>0</v>
      </c>
      <c r="F16" s="25">
        <f t="shared" si="1"/>
        <v>8.64</v>
      </c>
      <c r="G16">
        <f t="shared" si="1"/>
        <v>0.45</v>
      </c>
      <c r="H16">
        <f>H9-H4</f>
        <v>2.0000000000000004E-2</v>
      </c>
      <c r="I16">
        <f>(B16+D16+E16+F16+G16+H16+C16)/7</f>
        <v>1.9652454117142857</v>
      </c>
    </row>
    <row r="17" spans="1:9">
      <c r="A17" s="19">
        <v>15</v>
      </c>
      <c r="B17">
        <f>B10-B5</f>
        <v>1.58</v>
      </c>
      <c r="C17" s="25">
        <f>C10-C5</f>
        <v>0.51669563699999999</v>
      </c>
      <c r="D17" t="s">
        <v>30</v>
      </c>
      <c r="E17">
        <v>0</v>
      </c>
      <c r="F17" s="25">
        <f t="shared" si="1"/>
        <v>10.31</v>
      </c>
      <c r="G17" s="25">
        <f t="shared" si="1"/>
        <v>0.33</v>
      </c>
      <c r="I17">
        <f>(B17+C17+E17+F17+G17)/5</f>
        <v>2.5473391273999999</v>
      </c>
    </row>
    <row r="18" spans="1:9">
      <c r="F18" t="s">
        <v>82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zoomScale="94" workbookViewId="0">
      <selection activeCell="F14" sqref="F14"/>
    </sheetView>
  </sheetViews>
  <sheetFormatPr defaultColWidth="11" defaultRowHeight="15.95"/>
  <sheetData>
    <row r="1" spans="1:8">
      <c r="A1" s="7" t="s">
        <v>18</v>
      </c>
      <c r="B1" s="2">
        <v>5</v>
      </c>
      <c r="C1" s="2">
        <v>7</v>
      </c>
      <c r="D1" s="2">
        <v>13</v>
      </c>
      <c r="E1" s="2">
        <v>16</v>
      </c>
    </row>
    <row r="2" spans="1:8">
      <c r="A2" s="1">
        <v>0</v>
      </c>
      <c r="B2" s="22">
        <v>0.46</v>
      </c>
      <c r="C2" s="3">
        <v>2.25</v>
      </c>
      <c r="D2" s="22">
        <v>1.1200000000000001</v>
      </c>
      <c r="E2" s="22">
        <v>0</v>
      </c>
      <c r="H2" s="4"/>
    </row>
    <row r="3" spans="1:8">
      <c r="A3" s="1">
        <v>5</v>
      </c>
      <c r="B3" s="22">
        <v>0.34</v>
      </c>
      <c r="C3" s="3">
        <v>0</v>
      </c>
      <c r="D3" s="22">
        <v>0.57999999999999996</v>
      </c>
      <c r="E3" s="22">
        <v>0</v>
      </c>
      <c r="H3" s="4"/>
    </row>
    <row r="4" spans="1:8">
      <c r="A4" s="1">
        <v>10</v>
      </c>
      <c r="B4" s="22">
        <v>0.13</v>
      </c>
      <c r="C4" s="3">
        <v>0</v>
      </c>
      <c r="D4" s="22">
        <v>0.22</v>
      </c>
      <c r="E4" s="22">
        <v>0</v>
      </c>
      <c r="H4" s="4"/>
    </row>
    <row r="5" spans="1:8">
      <c r="A5" s="1">
        <v>15</v>
      </c>
      <c r="B5" s="22">
        <v>1.71</v>
      </c>
      <c r="C5" s="3">
        <v>0</v>
      </c>
      <c r="D5" s="22">
        <v>0</v>
      </c>
      <c r="E5" s="22">
        <v>0</v>
      </c>
      <c r="H5" s="4"/>
    </row>
    <row r="6" spans="1:8">
      <c r="A6" s="1" t="s">
        <v>31</v>
      </c>
      <c r="B6" s="22"/>
      <c r="C6" s="3"/>
      <c r="D6" s="22"/>
      <c r="E6" s="22"/>
      <c r="H6" s="4"/>
    </row>
    <row r="7" spans="1:8">
      <c r="A7" s="1">
        <v>0</v>
      </c>
      <c r="B7" s="22">
        <v>1.05</v>
      </c>
      <c r="C7" s="3">
        <v>0</v>
      </c>
      <c r="D7" s="22">
        <v>0</v>
      </c>
      <c r="E7" s="22">
        <v>0.75</v>
      </c>
      <c r="H7" s="4"/>
    </row>
    <row r="8" spans="1:8">
      <c r="A8" s="1">
        <v>5</v>
      </c>
      <c r="B8" s="22">
        <v>1.03</v>
      </c>
      <c r="C8" s="3">
        <v>0</v>
      </c>
      <c r="D8" s="22">
        <v>0.02</v>
      </c>
      <c r="E8" s="22">
        <v>0.05</v>
      </c>
      <c r="H8" s="4"/>
    </row>
    <row r="9" spans="1:8">
      <c r="A9" s="1">
        <v>10</v>
      </c>
      <c r="B9" s="22">
        <v>1.92</v>
      </c>
      <c r="C9" s="3">
        <v>0</v>
      </c>
      <c r="D9" s="22">
        <v>0.11</v>
      </c>
      <c r="E9" s="22">
        <v>0</v>
      </c>
      <c r="H9" s="4"/>
    </row>
    <row r="10" spans="1:8">
      <c r="A10" s="1">
        <v>15</v>
      </c>
      <c r="B10" s="22">
        <v>2.2999999999999998</v>
      </c>
      <c r="C10" s="3">
        <v>0</v>
      </c>
      <c r="D10" s="22">
        <v>0</v>
      </c>
      <c r="E10" s="22">
        <v>0</v>
      </c>
      <c r="H10" s="4"/>
    </row>
    <row r="12" spans="1:8">
      <c r="A12" t="s">
        <v>80</v>
      </c>
      <c r="F12" t="s">
        <v>81</v>
      </c>
    </row>
    <row r="13" spans="1:8">
      <c r="A13" s="19">
        <v>0</v>
      </c>
      <c r="B13">
        <f>(B7-B2)</f>
        <v>0.59000000000000008</v>
      </c>
      <c r="C13" s="20">
        <v>0</v>
      </c>
      <c r="D13" s="21">
        <v>-1.1000000000000001</v>
      </c>
      <c r="E13" s="20">
        <v>0.75</v>
      </c>
      <c r="F13">
        <f>(B13+C13+D13+E13)/3</f>
        <v>0.08</v>
      </c>
    </row>
    <row r="14" spans="1:8">
      <c r="A14" s="19">
        <v>5</v>
      </c>
      <c r="B14">
        <f>(B8-B3)</f>
        <v>0.69</v>
      </c>
      <c r="C14" s="20" t="s">
        <v>30</v>
      </c>
      <c r="D14" s="21">
        <f>D8-D3</f>
        <v>-0.55999999999999994</v>
      </c>
      <c r="E14" s="20">
        <v>0.05</v>
      </c>
      <c r="F14">
        <f>(B14+D14+E14)/3</f>
        <v>0.06</v>
      </c>
    </row>
    <row r="15" spans="1:8">
      <c r="A15" s="19">
        <v>10</v>
      </c>
      <c r="B15">
        <f>(B9-B4)</f>
        <v>1.79</v>
      </c>
      <c r="C15" s="20" t="s">
        <v>30</v>
      </c>
      <c r="D15" s="21">
        <f>D9-D4</f>
        <v>-0.11</v>
      </c>
      <c r="E15" s="20">
        <v>0</v>
      </c>
      <c r="F15">
        <f>(B15+D15+E15)/3</f>
        <v>0.55999999999999994</v>
      </c>
    </row>
    <row r="16" spans="1:8">
      <c r="A16" s="19">
        <v>15</v>
      </c>
      <c r="B16">
        <f>(B10-B5)</f>
        <v>0.58999999999999986</v>
      </c>
      <c r="C16" s="20" t="s">
        <v>30</v>
      </c>
      <c r="D16" s="21">
        <v>0</v>
      </c>
      <c r="E16" s="20">
        <v>0</v>
      </c>
      <c r="F16">
        <f>B16/3</f>
        <v>0.19666666666666663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Florian Czeczil</cp:lastModifiedBy>
  <cp:revision/>
  <dcterms:created xsi:type="dcterms:W3CDTF">2023-12-18T14:58:50Z</dcterms:created>
  <dcterms:modified xsi:type="dcterms:W3CDTF">2025-10-09T09:08:33Z</dcterms:modified>
  <cp:category/>
  <cp:contentStatus/>
</cp:coreProperties>
</file>